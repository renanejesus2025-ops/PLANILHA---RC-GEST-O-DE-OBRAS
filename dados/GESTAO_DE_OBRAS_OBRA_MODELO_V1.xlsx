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Etapas" sheetId="2" state="visible" r:id="rId2"/>
    <sheet name="Subetapas" sheetId="3" state="visible" r:id="rId3"/>
    <sheet name="Serviços" sheetId="4" state="visible" r:id="rId4"/>
    <sheet name="Base_Dados" sheetId="5" state="hidden" r:id="rId5"/>
  </sheets>
  <definedNames>
    <definedName name="Lista_Etapas">Etapas!$B$2:$B$1000</definedName>
    <definedName name="Lista_Subetapas">Subetapas!$B$2:$B$1000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  <color rgb="FF5A5F5B"/>
    </font>
  </fonts>
  <fills count="3">
    <fill>
      <patternFill/>
    </fill>
    <fill>
      <patternFill patternType="gray125"/>
    </fill>
    <fill>
      <patternFill patternType="solid">
        <fgColor rgb="FF0F1C2C"/>
      </patternFill>
    </fill>
  </fills>
  <borders count="2">
    <border>
      <left/>
      <right/>
      <top/>
      <bottom/>
      <diagonal/>
    </border>
    <border>
      <left style="thin">
        <color rgb="FFABB6BA"/>
      </left>
      <right style="thin">
        <color rgb="FFABB6BA"/>
      </right>
      <top style="thin">
        <color rgb="FFABB6BA"/>
      </top>
      <bottom style="thin">
        <color rgb="FFABB6B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4" customHeight="1">
      <c r="A1" s="1" t="inlineStr">
        <is>
          <t>Dados da Obra</t>
        </is>
      </c>
      <c r="B1" s="2" t="n"/>
    </row>
    <row r="2">
      <c r="A2" s="3" t="inlineStr">
        <is>
          <t>Nome da Obra</t>
        </is>
      </c>
      <c r="B2" s="4" t="n"/>
    </row>
    <row r="3">
      <c r="A3" s="3" t="inlineStr">
        <is>
          <t>Cliente/Contratante</t>
        </is>
      </c>
      <c r="B3" s="4" t="n"/>
    </row>
    <row r="4">
      <c r="A4" s="3" t="inlineStr">
        <is>
          <t>Endereço</t>
        </is>
      </c>
      <c r="B4" s="4" t="n"/>
    </row>
    <row r="5">
      <c r="A5" s="3" t="inlineStr">
        <is>
          <t>Responsável Técnico</t>
        </is>
      </c>
      <c r="B5" s="4" t="n"/>
    </row>
    <row r="6">
      <c r="A6" s="3" t="inlineStr">
        <is>
          <t>Data Inicial Planejada</t>
        </is>
      </c>
      <c r="B6" s="5" t="n"/>
    </row>
    <row r="7">
      <c r="A7" s="3" t="inlineStr">
        <is>
          <t>Data Final Planejada</t>
        </is>
      </c>
      <c r="B7" s="5" t="n"/>
    </row>
    <row r="8">
      <c r="A8" s="3" t="inlineStr">
        <is>
          <t>Orçamento Inicial (Previsto)</t>
        </is>
      </c>
      <c r="B8" s="6" t="n"/>
    </row>
  </sheetData>
  <dataValidations count="2">
    <dataValidation sqref="B6" showDropDown="0" showInputMessage="0" showErrorMessage="1" allowBlank="1" errorTitle="Data inválida" error="Informe uma data válida." type="date" operator="greaterThanOrEqual">
      <formula1>1900-01-01</formula1>
    </dataValidation>
    <dataValidation sqref="B7" showDropDown="0" showInputMessage="0" showErrorMessage="1" allowBlank="1" errorTitle="Data inválida" error="Informe uma data válida." type="date" operator="greaterThanOrEqual">
      <formula1>1900-01-01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0" customWidth="1" min="3" max="3"/>
    <col width="20" customWidth="1" min="4" max="4"/>
    <col hidden="1" width="16" customWidth="1" min="5" max="5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Ordem</t>
        </is>
      </c>
      <c r="D1" s="7" t="inlineStr">
        <is>
          <t>Status</t>
        </is>
      </c>
      <c r="E1" s="7" t="inlineStr">
        <is>
          <t>ID_Obra (técnico)</t>
        </is>
      </c>
    </row>
    <row r="2">
      <c r="A2" s="4">
        <f>IF($B2="","","ETA-"&amp;TEXT(ROW()-1,"0000"))</f>
        <v/>
      </c>
      <c r="B2" s="4" t="n"/>
      <c r="C2" s="4" t="n"/>
      <c r="D2" s="4" t="n"/>
      <c r="E2" s="4">
        <f>IF($B2="","",Base_Dados!$B$2)</f>
        <v/>
      </c>
    </row>
    <row r="3">
      <c r="A3" s="4">
        <f>IF($B3="","","ETA-"&amp;TEXT(ROW()-1,"0000"))</f>
        <v/>
      </c>
      <c r="B3" s="4" t="n"/>
      <c r="C3" s="4" t="n"/>
      <c r="D3" s="4" t="n"/>
      <c r="E3" s="4">
        <f>IF($B3="","",Base_Dados!$B$2)</f>
        <v/>
      </c>
    </row>
    <row r="4">
      <c r="A4" s="4">
        <f>IF($B4="","","ETA-"&amp;TEXT(ROW()-1,"0000"))</f>
        <v/>
      </c>
      <c r="B4" s="4" t="n"/>
      <c r="C4" s="4" t="n"/>
      <c r="D4" s="4" t="n"/>
      <c r="E4" s="4">
        <f>IF($B4="","",Base_Dados!$B$2)</f>
        <v/>
      </c>
    </row>
    <row r="5">
      <c r="A5" s="4">
        <f>IF($B5="","","ETA-"&amp;TEXT(ROW()-1,"0000"))</f>
        <v/>
      </c>
      <c r="B5" s="4" t="n"/>
      <c r="C5" s="4" t="n"/>
      <c r="D5" s="4" t="n"/>
      <c r="E5" s="4">
        <f>IF($B5="","",Base_Dados!$B$2)</f>
        <v/>
      </c>
    </row>
    <row r="6">
      <c r="A6" s="4">
        <f>IF($B6="","","ETA-"&amp;TEXT(ROW()-1,"0000"))</f>
        <v/>
      </c>
      <c r="B6" s="4" t="n"/>
      <c r="C6" s="4" t="n"/>
      <c r="D6" s="4" t="n"/>
      <c r="E6" s="4">
        <f>IF($B6="","",Base_Dados!$B$2)</f>
        <v/>
      </c>
    </row>
    <row r="7">
      <c r="A7" s="4">
        <f>IF($B7="","","ETA-"&amp;TEXT(ROW()-1,"0000"))</f>
        <v/>
      </c>
      <c r="B7" s="4" t="n"/>
      <c r="C7" s="4" t="n"/>
      <c r="D7" s="4" t="n"/>
      <c r="E7" s="4">
        <f>IF($B7="","",Base_Dados!$B$2)</f>
        <v/>
      </c>
    </row>
    <row r="8">
      <c r="A8" s="4">
        <f>IF($B8="","","ETA-"&amp;TEXT(ROW()-1,"0000"))</f>
        <v/>
      </c>
      <c r="B8" s="4" t="n"/>
      <c r="C8" s="4" t="n"/>
      <c r="D8" s="4" t="n"/>
      <c r="E8" s="4">
        <f>IF($B8="","",Base_Dados!$B$2)</f>
        <v/>
      </c>
    </row>
    <row r="9">
      <c r="A9" s="4">
        <f>IF($B9="","","ETA-"&amp;TEXT(ROW()-1,"0000"))</f>
        <v/>
      </c>
      <c r="B9" s="4" t="n"/>
      <c r="C9" s="4" t="n"/>
      <c r="D9" s="4" t="n"/>
      <c r="E9" s="4">
        <f>IF($B9="","",Base_Dados!$B$2)</f>
        <v/>
      </c>
    </row>
    <row r="10">
      <c r="A10" s="4">
        <f>IF($B10="","","ETA-"&amp;TEXT(ROW()-1,"0000"))</f>
        <v/>
      </c>
      <c r="B10" s="4" t="n"/>
      <c r="C10" s="4" t="n"/>
      <c r="D10" s="4" t="n"/>
      <c r="E10" s="4">
        <f>IF($B10="","",Base_Dados!$B$2)</f>
        <v/>
      </c>
    </row>
    <row r="11">
      <c r="A11" s="4">
        <f>IF($B11="","","ETA-"&amp;TEXT(ROW()-1,"0000"))</f>
        <v/>
      </c>
      <c r="B11" s="4" t="n"/>
      <c r="C11" s="4" t="n"/>
      <c r="D11" s="4" t="n"/>
      <c r="E11" s="4">
        <f>IF($B11="","",Base_Dados!$B$2)</f>
        <v/>
      </c>
    </row>
    <row r="12">
      <c r="A12" s="4">
        <f>IF($B12="","","ETA-"&amp;TEXT(ROW()-1,"0000"))</f>
        <v/>
      </c>
      <c r="B12" s="4" t="n"/>
      <c r="C12" s="4" t="n"/>
      <c r="D12" s="4" t="n"/>
      <c r="E12" s="4">
        <f>IF($B12="","",Base_Dados!$B$2)</f>
        <v/>
      </c>
    </row>
    <row r="13">
      <c r="A13" s="4">
        <f>IF($B13="","","ETA-"&amp;TEXT(ROW()-1,"0000"))</f>
        <v/>
      </c>
      <c r="B13" s="4" t="n"/>
      <c r="C13" s="4" t="n"/>
      <c r="D13" s="4" t="n"/>
      <c r="E13" s="4">
        <f>IF($B13="","",Base_Dados!$B$2)</f>
        <v/>
      </c>
    </row>
    <row r="14">
      <c r="A14" s="4">
        <f>IF($B14="","","ETA-"&amp;TEXT(ROW()-1,"0000"))</f>
        <v/>
      </c>
      <c r="B14" s="4" t="n"/>
      <c r="C14" s="4" t="n"/>
      <c r="D14" s="4" t="n"/>
      <c r="E14" s="4">
        <f>IF($B14="","",Base_Dados!$B$2)</f>
        <v/>
      </c>
    </row>
    <row r="15">
      <c r="A15" s="4">
        <f>IF($B15="","","ETA-"&amp;TEXT(ROW()-1,"0000"))</f>
        <v/>
      </c>
      <c r="B15" s="4" t="n"/>
      <c r="C15" s="4" t="n"/>
      <c r="D15" s="4" t="n"/>
      <c r="E15" s="4">
        <f>IF($B15="","",Base_Dados!$B$2)</f>
        <v/>
      </c>
    </row>
    <row r="16">
      <c r="A16" s="4">
        <f>IF($B16="","","ETA-"&amp;TEXT(ROW()-1,"0000"))</f>
        <v/>
      </c>
      <c r="B16" s="4" t="n"/>
      <c r="C16" s="4" t="n"/>
      <c r="D16" s="4" t="n"/>
      <c r="E16" s="4">
        <f>IF($B16="","",Base_Dados!$B$2)</f>
        <v/>
      </c>
    </row>
    <row r="17">
      <c r="A17" s="4">
        <f>IF($B17="","","ETA-"&amp;TEXT(ROW()-1,"0000"))</f>
        <v/>
      </c>
      <c r="B17" s="4" t="n"/>
      <c r="C17" s="4" t="n"/>
      <c r="D17" s="4" t="n"/>
      <c r="E17" s="4">
        <f>IF($B17="","",Base_Dados!$B$2)</f>
        <v/>
      </c>
    </row>
    <row r="18">
      <c r="A18" s="4">
        <f>IF($B18="","","ETA-"&amp;TEXT(ROW()-1,"0000"))</f>
        <v/>
      </c>
      <c r="B18" s="4" t="n"/>
      <c r="C18" s="4" t="n"/>
      <c r="D18" s="4" t="n"/>
      <c r="E18" s="4">
        <f>IF($B18="","",Base_Dados!$B$2)</f>
        <v/>
      </c>
    </row>
    <row r="19">
      <c r="A19" s="4">
        <f>IF($B19="","","ETA-"&amp;TEXT(ROW()-1,"0000"))</f>
        <v/>
      </c>
      <c r="B19" s="4" t="n"/>
      <c r="C19" s="4" t="n"/>
      <c r="D19" s="4" t="n"/>
      <c r="E19" s="4">
        <f>IF($B19="","",Base_Dados!$B$2)</f>
        <v/>
      </c>
    </row>
    <row r="20">
      <c r="A20" s="4">
        <f>IF($B20="","","ETA-"&amp;TEXT(ROW()-1,"0000"))</f>
        <v/>
      </c>
      <c r="B20" s="4" t="n"/>
      <c r="C20" s="4" t="n"/>
      <c r="D20" s="4" t="n"/>
      <c r="E20" s="4">
        <f>IF($B20="","",Base_Dados!$B$2)</f>
        <v/>
      </c>
    </row>
    <row r="21">
      <c r="A21" s="4">
        <f>IF($B21="","","ETA-"&amp;TEXT(ROW()-1,"0000"))</f>
        <v/>
      </c>
      <c r="B21" s="4" t="n"/>
      <c r="C21" s="4" t="n"/>
      <c r="D21" s="4" t="n"/>
      <c r="E21" s="4">
        <f>IF($B21="","",Base_Dados!$B$2)</f>
        <v/>
      </c>
    </row>
    <row r="22">
      <c r="A22" s="4">
        <f>IF($B22="","","ETA-"&amp;TEXT(ROW()-1,"0000"))</f>
        <v/>
      </c>
      <c r="B22" s="4" t="n"/>
      <c r="C22" s="4" t="n"/>
      <c r="D22" s="4" t="n"/>
      <c r="E22" s="4">
        <f>IF($B22="","",Base_Dados!$B$2)</f>
        <v/>
      </c>
    </row>
    <row r="23">
      <c r="A23" s="4">
        <f>IF($B23="","","ETA-"&amp;TEXT(ROW()-1,"0000"))</f>
        <v/>
      </c>
      <c r="B23" s="4" t="n"/>
      <c r="C23" s="4" t="n"/>
      <c r="D23" s="4" t="n"/>
      <c r="E23" s="4">
        <f>IF($B23="","",Base_Dados!$B$2)</f>
        <v/>
      </c>
    </row>
    <row r="24">
      <c r="A24" s="4">
        <f>IF($B24="","","ETA-"&amp;TEXT(ROW()-1,"0000"))</f>
        <v/>
      </c>
      <c r="B24" s="4" t="n"/>
      <c r="C24" s="4" t="n"/>
      <c r="D24" s="4" t="n"/>
      <c r="E24" s="4">
        <f>IF($B24="","",Base_Dados!$B$2)</f>
        <v/>
      </c>
    </row>
    <row r="25">
      <c r="A25" s="4">
        <f>IF($B25="","","ETA-"&amp;TEXT(ROW()-1,"0000"))</f>
        <v/>
      </c>
      <c r="B25" s="4" t="n"/>
      <c r="C25" s="4" t="n"/>
      <c r="D25" s="4" t="n"/>
      <c r="E25" s="4">
        <f>IF($B25="","",Base_Dados!$B$2)</f>
        <v/>
      </c>
    </row>
    <row r="26">
      <c r="A26" s="4">
        <f>IF($B26="","","ETA-"&amp;TEXT(ROW()-1,"0000"))</f>
        <v/>
      </c>
      <c r="B26" s="4" t="n"/>
      <c r="C26" s="4" t="n"/>
      <c r="D26" s="4" t="n"/>
      <c r="E26" s="4">
        <f>IF($B26="","",Base_Dados!$B$2)</f>
        <v/>
      </c>
    </row>
    <row r="27">
      <c r="A27" s="4">
        <f>IF($B27="","","ETA-"&amp;TEXT(ROW()-1,"0000"))</f>
        <v/>
      </c>
      <c r="B27" s="4" t="n"/>
      <c r="C27" s="4" t="n"/>
      <c r="D27" s="4" t="n"/>
      <c r="E27" s="4">
        <f>IF($B27="","",Base_Dados!$B$2)</f>
        <v/>
      </c>
    </row>
    <row r="28">
      <c r="A28" s="4">
        <f>IF($B28="","","ETA-"&amp;TEXT(ROW()-1,"0000"))</f>
        <v/>
      </c>
      <c r="B28" s="4" t="n"/>
      <c r="C28" s="4" t="n"/>
      <c r="D28" s="4" t="n"/>
      <c r="E28" s="4">
        <f>IF($B28="","",Base_Dados!$B$2)</f>
        <v/>
      </c>
    </row>
    <row r="29">
      <c r="A29" s="4">
        <f>IF($B29="","","ETA-"&amp;TEXT(ROW()-1,"0000"))</f>
        <v/>
      </c>
      <c r="B29" s="4" t="n"/>
      <c r="C29" s="4" t="n"/>
      <c r="D29" s="4" t="n"/>
      <c r="E29" s="4">
        <f>IF($B29="","",Base_Dados!$B$2)</f>
        <v/>
      </c>
    </row>
    <row r="30">
      <c r="A30" s="4">
        <f>IF($B30="","","ETA-"&amp;TEXT(ROW()-1,"0000"))</f>
        <v/>
      </c>
      <c r="B30" s="4" t="n"/>
      <c r="C30" s="4" t="n"/>
      <c r="D30" s="4" t="n"/>
      <c r="E30" s="4">
        <f>IF($B30="","",Base_Dados!$B$2)</f>
        <v/>
      </c>
    </row>
    <row r="31">
      <c r="A31" s="4">
        <f>IF($B31="","","ETA-"&amp;TEXT(ROW()-1,"0000"))</f>
        <v/>
      </c>
      <c r="B31" s="4" t="n"/>
      <c r="C31" s="4" t="n"/>
      <c r="D31" s="4" t="n"/>
      <c r="E31" s="4">
        <f>IF($B31="","",Base_Dados!$B$2)</f>
        <v/>
      </c>
    </row>
  </sheetData>
  <dataValidations count="1">
    <dataValidation sqref="C2:C31" showDropDown="0" showInputMessage="0" showErrorMessage="1" allowBlank="1" errorTitle="Ordem inválida" error="Informe um número inteiro maior que zero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6" customWidth="1" min="3" max="3"/>
    <col width="20" customWidth="1" min="4" max="4"/>
    <col hidden="1" width="16" customWidth="1" min="5" max="5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Etapa</t>
        </is>
      </c>
      <c r="D1" s="7" t="inlineStr">
        <is>
          <t>Status</t>
        </is>
      </c>
      <c r="E1" s="7" t="inlineStr">
        <is>
          <t>ID_Etapa (técnico)</t>
        </is>
      </c>
    </row>
    <row r="2">
      <c r="A2" s="4">
        <f>IF($B2="","","SUB-"&amp;TEXT(ROW()-1,"0000"))</f>
        <v/>
      </c>
      <c r="B2" s="4" t="n"/>
      <c r="C2" s="4" t="n"/>
      <c r="D2" s="4" t="n"/>
      <c r="E2" s="4">
        <f>IF($C2="","",INDEX(Etapas!$A:$A,MATCH($C2,Etapas!$B:$B,0)))</f>
        <v/>
      </c>
    </row>
    <row r="3">
      <c r="A3" s="4">
        <f>IF($B3="","","SUB-"&amp;TEXT(ROW()-1,"0000"))</f>
        <v/>
      </c>
      <c r="B3" s="4" t="n"/>
      <c r="C3" s="4" t="n"/>
      <c r="D3" s="4" t="n"/>
      <c r="E3" s="4">
        <f>IF($C3="","",INDEX(Etapas!$A:$A,MATCH($C3,Etapas!$B:$B,0)))</f>
        <v/>
      </c>
    </row>
    <row r="4">
      <c r="A4" s="4">
        <f>IF($B4="","","SUB-"&amp;TEXT(ROW()-1,"0000"))</f>
        <v/>
      </c>
      <c r="B4" s="4" t="n"/>
      <c r="C4" s="4" t="n"/>
      <c r="D4" s="4" t="n"/>
      <c r="E4" s="4">
        <f>IF($C4="","",INDEX(Etapas!$A:$A,MATCH($C4,Etapas!$B:$B,0)))</f>
        <v/>
      </c>
    </row>
    <row r="5">
      <c r="A5" s="4">
        <f>IF($B5="","","SUB-"&amp;TEXT(ROW()-1,"0000"))</f>
        <v/>
      </c>
      <c r="B5" s="4" t="n"/>
      <c r="C5" s="4" t="n"/>
      <c r="D5" s="4" t="n"/>
      <c r="E5" s="4">
        <f>IF($C5="","",INDEX(Etapas!$A:$A,MATCH($C5,Etapas!$B:$B,0)))</f>
        <v/>
      </c>
    </row>
    <row r="6">
      <c r="A6" s="4">
        <f>IF($B6="","","SUB-"&amp;TEXT(ROW()-1,"0000"))</f>
        <v/>
      </c>
      <c r="B6" s="4" t="n"/>
      <c r="C6" s="4" t="n"/>
      <c r="D6" s="4" t="n"/>
      <c r="E6" s="4">
        <f>IF($C6="","",INDEX(Etapas!$A:$A,MATCH($C6,Etapas!$B:$B,0)))</f>
        <v/>
      </c>
    </row>
    <row r="7">
      <c r="A7" s="4">
        <f>IF($B7="","","SUB-"&amp;TEXT(ROW()-1,"0000"))</f>
        <v/>
      </c>
      <c r="B7" s="4" t="n"/>
      <c r="C7" s="4" t="n"/>
      <c r="D7" s="4" t="n"/>
      <c r="E7" s="4">
        <f>IF($C7="","",INDEX(Etapas!$A:$A,MATCH($C7,Etapas!$B:$B,0)))</f>
        <v/>
      </c>
    </row>
    <row r="8">
      <c r="A8" s="4">
        <f>IF($B8="","","SUB-"&amp;TEXT(ROW()-1,"0000"))</f>
        <v/>
      </c>
      <c r="B8" s="4" t="n"/>
      <c r="C8" s="4" t="n"/>
      <c r="D8" s="4" t="n"/>
      <c r="E8" s="4">
        <f>IF($C8="","",INDEX(Etapas!$A:$A,MATCH($C8,Etapas!$B:$B,0)))</f>
        <v/>
      </c>
    </row>
    <row r="9">
      <c r="A9" s="4">
        <f>IF($B9="","","SUB-"&amp;TEXT(ROW()-1,"0000"))</f>
        <v/>
      </c>
      <c r="B9" s="4" t="n"/>
      <c r="C9" s="4" t="n"/>
      <c r="D9" s="4" t="n"/>
      <c r="E9" s="4">
        <f>IF($C9="","",INDEX(Etapas!$A:$A,MATCH($C9,Etapas!$B:$B,0)))</f>
        <v/>
      </c>
    </row>
    <row r="10">
      <c r="A10" s="4">
        <f>IF($B10="","","SUB-"&amp;TEXT(ROW()-1,"0000"))</f>
        <v/>
      </c>
      <c r="B10" s="4" t="n"/>
      <c r="C10" s="4" t="n"/>
      <c r="D10" s="4" t="n"/>
      <c r="E10" s="4">
        <f>IF($C10="","",INDEX(Etapas!$A:$A,MATCH($C10,Etapas!$B:$B,0)))</f>
        <v/>
      </c>
    </row>
    <row r="11">
      <c r="A11" s="4">
        <f>IF($B11="","","SUB-"&amp;TEXT(ROW()-1,"0000"))</f>
        <v/>
      </c>
      <c r="B11" s="4" t="n"/>
      <c r="C11" s="4" t="n"/>
      <c r="D11" s="4" t="n"/>
      <c r="E11" s="4">
        <f>IF($C11="","",INDEX(Etapas!$A:$A,MATCH($C11,Etapas!$B:$B,0)))</f>
        <v/>
      </c>
    </row>
    <row r="12">
      <c r="A12" s="4">
        <f>IF($B12="","","SUB-"&amp;TEXT(ROW()-1,"0000"))</f>
        <v/>
      </c>
      <c r="B12" s="4" t="n"/>
      <c r="C12" s="4" t="n"/>
      <c r="D12" s="4" t="n"/>
      <c r="E12" s="4">
        <f>IF($C12="","",INDEX(Etapas!$A:$A,MATCH($C12,Etapas!$B:$B,0)))</f>
        <v/>
      </c>
    </row>
    <row r="13">
      <c r="A13" s="4">
        <f>IF($B13="","","SUB-"&amp;TEXT(ROW()-1,"0000"))</f>
        <v/>
      </c>
      <c r="B13" s="4" t="n"/>
      <c r="C13" s="4" t="n"/>
      <c r="D13" s="4" t="n"/>
      <c r="E13" s="4">
        <f>IF($C13="","",INDEX(Etapas!$A:$A,MATCH($C13,Etapas!$B:$B,0)))</f>
        <v/>
      </c>
    </row>
    <row r="14">
      <c r="A14" s="4">
        <f>IF($B14="","","SUB-"&amp;TEXT(ROW()-1,"0000"))</f>
        <v/>
      </c>
      <c r="B14" s="4" t="n"/>
      <c r="C14" s="4" t="n"/>
      <c r="D14" s="4" t="n"/>
      <c r="E14" s="4">
        <f>IF($C14="","",INDEX(Etapas!$A:$A,MATCH($C14,Etapas!$B:$B,0)))</f>
        <v/>
      </c>
    </row>
    <row r="15">
      <c r="A15" s="4">
        <f>IF($B15="","","SUB-"&amp;TEXT(ROW()-1,"0000"))</f>
        <v/>
      </c>
      <c r="B15" s="4" t="n"/>
      <c r="C15" s="4" t="n"/>
      <c r="D15" s="4" t="n"/>
      <c r="E15" s="4">
        <f>IF($C15="","",INDEX(Etapas!$A:$A,MATCH($C15,Etapas!$B:$B,0)))</f>
        <v/>
      </c>
    </row>
    <row r="16">
      <c r="A16" s="4">
        <f>IF($B16="","","SUB-"&amp;TEXT(ROW()-1,"0000"))</f>
        <v/>
      </c>
      <c r="B16" s="4" t="n"/>
      <c r="C16" s="4" t="n"/>
      <c r="D16" s="4" t="n"/>
      <c r="E16" s="4">
        <f>IF($C16="","",INDEX(Etapas!$A:$A,MATCH($C16,Etapas!$B:$B,0)))</f>
        <v/>
      </c>
    </row>
    <row r="17">
      <c r="A17" s="4">
        <f>IF($B17="","","SUB-"&amp;TEXT(ROW()-1,"0000"))</f>
        <v/>
      </c>
      <c r="B17" s="4" t="n"/>
      <c r="C17" s="4" t="n"/>
      <c r="D17" s="4" t="n"/>
      <c r="E17" s="4">
        <f>IF($C17="","",INDEX(Etapas!$A:$A,MATCH($C17,Etapas!$B:$B,0)))</f>
        <v/>
      </c>
    </row>
    <row r="18">
      <c r="A18" s="4">
        <f>IF($B18="","","SUB-"&amp;TEXT(ROW()-1,"0000"))</f>
        <v/>
      </c>
      <c r="B18" s="4" t="n"/>
      <c r="C18" s="4" t="n"/>
      <c r="D18" s="4" t="n"/>
      <c r="E18" s="4">
        <f>IF($C18="","",INDEX(Etapas!$A:$A,MATCH($C18,Etapas!$B:$B,0)))</f>
        <v/>
      </c>
    </row>
    <row r="19">
      <c r="A19" s="4">
        <f>IF($B19="","","SUB-"&amp;TEXT(ROW()-1,"0000"))</f>
        <v/>
      </c>
      <c r="B19" s="4" t="n"/>
      <c r="C19" s="4" t="n"/>
      <c r="D19" s="4" t="n"/>
      <c r="E19" s="4">
        <f>IF($C19="","",INDEX(Etapas!$A:$A,MATCH($C19,Etapas!$B:$B,0)))</f>
        <v/>
      </c>
    </row>
    <row r="20">
      <c r="A20" s="4">
        <f>IF($B20="","","SUB-"&amp;TEXT(ROW()-1,"0000"))</f>
        <v/>
      </c>
      <c r="B20" s="4" t="n"/>
      <c r="C20" s="4" t="n"/>
      <c r="D20" s="4" t="n"/>
      <c r="E20" s="4">
        <f>IF($C20="","",INDEX(Etapas!$A:$A,MATCH($C20,Etapas!$B:$B,0)))</f>
        <v/>
      </c>
    </row>
    <row r="21">
      <c r="A21" s="4">
        <f>IF($B21="","","SUB-"&amp;TEXT(ROW()-1,"0000"))</f>
        <v/>
      </c>
      <c r="B21" s="4" t="n"/>
      <c r="C21" s="4" t="n"/>
      <c r="D21" s="4" t="n"/>
      <c r="E21" s="4">
        <f>IF($C21="","",INDEX(Etapas!$A:$A,MATCH($C21,Etapas!$B:$B,0)))</f>
        <v/>
      </c>
    </row>
    <row r="22">
      <c r="A22" s="4">
        <f>IF($B22="","","SUB-"&amp;TEXT(ROW()-1,"0000"))</f>
        <v/>
      </c>
      <c r="B22" s="4" t="n"/>
      <c r="C22" s="4" t="n"/>
      <c r="D22" s="4" t="n"/>
      <c r="E22" s="4">
        <f>IF($C22="","",INDEX(Etapas!$A:$A,MATCH($C22,Etapas!$B:$B,0)))</f>
        <v/>
      </c>
    </row>
    <row r="23">
      <c r="A23" s="4">
        <f>IF($B23="","","SUB-"&amp;TEXT(ROW()-1,"0000"))</f>
        <v/>
      </c>
      <c r="B23" s="4" t="n"/>
      <c r="C23" s="4" t="n"/>
      <c r="D23" s="4" t="n"/>
      <c r="E23" s="4">
        <f>IF($C23="","",INDEX(Etapas!$A:$A,MATCH($C23,Etapas!$B:$B,0)))</f>
        <v/>
      </c>
    </row>
    <row r="24">
      <c r="A24" s="4">
        <f>IF($B24="","","SUB-"&amp;TEXT(ROW()-1,"0000"))</f>
        <v/>
      </c>
      <c r="B24" s="4" t="n"/>
      <c r="C24" s="4" t="n"/>
      <c r="D24" s="4" t="n"/>
      <c r="E24" s="4">
        <f>IF($C24="","",INDEX(Etapas!$A:$A,MATCH($C24,Etapas!$B:$B,0)))</f>
        <v/>
      </c>
    </row>
    <row r="25">
      <c r="A25" s="4">
        <f>IF($B25="","","SUB-"&amp;TEXT(ROW()-1,"0000"))</f>
        <v/>
      </c>
      <c r="B25" s="4" t="n"/>
      <c r="C25" s="4" t="n"/>
      <c r="D25" s="4" t="n"/>
      <c r="E25" s="4">
        <f>IF($C25="","",INDEX(Etapas!$A:$A,MATCH($C25,Etapas!$B:$B,0)))</f>
        <v/>
      </c>
    </row>
    <row r="26">
      <c r="A26" s="4">
        <f>IF($B26="","","SUB-"&amp;TEXT(ROW()-1,"0000"))</f>
        <v/>
      </c>
      <c r="B26" s="4" t="n"/>
      <c r="C26" s="4" t="n"/>
      <c r="D26" s="4" t="n"/>
      <c r="E26" s="4">
        <f>IF($C26="","",INDEX(Etapas!$A:$A,MATCH($C26,Etapas!$B:$B,0)))</f>
        <v/>
      </c>
    </row>
    <row r="27">
      <c r="A27" s="4">
        <f>IF($B27="","","SUB-"&amp;TEXT(ROW()-1,"0000"))</f>
        <v/>
      </c>
      <c r="B27" s="4" t="n"/>
      <c r="C27" s="4" t="n"/>
      <c r="D27" s="4" t="n"/>
      <c r="E27" s="4">
        <f>IF($C27="","",INDEX(Etapas!$A:$A,MATCH($C27,Etapas!$B:$B,0)))</f>
        <v/>
      </c>
    </row>
    <row r="28">
      <c r="A28" s="4">
        <f>IF($B28="","","SUB-"&amp;TEXT(ROW()-1,"0000"))</f>
        <v/>
      </c>
      <c r="B28" s="4" t="n"/>
      <c r="C28" s="4" t="n"/>
      <c r="D28" s="4" t="n"/>
      <c r="E28" s="4">
        <f>IF($C28="","",INDEX(Etapas!$A:$A,MATCH($C28,Etapas!$B:$B,0)))</f>
        <v/>
      </c>
    </row>
    <row r="29">
      <c r="A29" s="4">
        <f>IF($B29="","","SUB-"&amp;TEXT(ROW()-1,"0000"))</f>
        <v/>
      </c>
      <c r="B29" s="4" t="n"/>
      <c r="C29" s="4" t="n"/>
      <c r="D29" s="4" t="n"/>
      <c r="E29" s="4">
        <f>IF($C29="","",INDEX(Etapas!$A:$A,MATCH($C29,Etapas!$B:$B,0)))</f>
        <v/>
      </c>
    </row>
    <row r="30">
      <c r="A30" s="4">
        <f>IF($B30="","","SUB-"&amp;TEXT(ROW()-1,"0000"))</f>
        <v/>
      </c>
      <c r="B30" s="4" t="n"/>
      <c r="C30" s="4" t="n"/>
      <c r="D30" s="4" t="n"/>
      <c r="E30" s="4">
        <f>IF($C30="","",INDEX(Etapas!$A:$A,MATCH($C30,Etapas!$B:$B,0)))</f>
        <v/>
      </c>
    </row>
    <row r="31">
      <c r="A31" s="4">
        <f>IF($B31="","","SUB-"&amp;TEXT(ROW()-1,"0000"))</f>
        <v/>
      </c>
      <c r="B31" s="4" t="n"/>
      <c r="C31" s="4" t="n"/>
      <c r="D31" s="4" t="n"/>
      <c r="E31" s="4">
        <f>IF($C31="","",INDEX(Etapas!$A:$A,MATCH($C31,Etapas!$B:$B,0)))</f>
        <v/>
      </c>
    </row>
  </sheetData>
  <dataValidations count="1">
    <dataValidation sqref="C2:C31" showDropDown="0" showInputMessage="0" showErrorMessage="1" allowBlank="1" errorTitle="Etapa inválida" error="Selecione uma Etapa já cadastrada na aba Etapas." type="list">
      <formula1>Lista_Etapas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26" customWidth="1" min="3" max="3"/>
    <col width="16" customWidth="1" min="4" max="4"/>
    <col width="16" customWidth="1" min="5" max="5"/>
    <col width="14" customWidth="1" min="6" max="6"/>
    <col width="14" customWidth="1" min="7" max="7"/>
    <col width="20" customWidth="1" min="8" max="8"/>
    <col hidden="1" width="18" customWidth="1" min="9" max="9"/>
  </cols>
  <sheetData>
    <row r="1" ht="30" customHeight="1">
      <c r="A1" s="7" t="inlineStr">
        <is>
          <t>ID (técnico)</t>
        </is>
      </c>
      <c r="B1" s="7" t="inlineStr">
        <is>
          <t>Descrição</t>
        </is>
      </c>
      <c r="C1" s="7" t="inlineStr">
        <is>
          <t>Subetapa</t>
        </is>
      </c>
      <c r="D1" s="7" t="inlineStr">
        <is>
          <t>Unidade de Medida</t>
        </is>
      </c>
      <c r="E1" s="7" t="inlineStr">
        <is>
          <t>Quantidade Orçada</t>
        </is>
      </c>
      <c r="F1" s="7" t="inlineStr">
        <is>
          <t>Valor Unitário</t>
        </is>
      </c>
      <c r="G1" s="7" t="inlineStr">
        <is>
          <t>Valor Previsto</t>
        </is>
      </c>
      <c r="H1" s="7" t="inlineStr">
        <is>
          <t>Status</t>
        </is>
      </c>
      <c r="I1" s="7" t="inlineStr">
        <is>
          <t>ID_Subetapa (técnico)</t>
        </is>
      </c>
    </row>
    <row r="2">
      <c r="A2" s="4">
        <f>IF($B2="","","SRV-"&amp;TEXT(ROW()-1,"0000"))</f>
        <v/>
      </c>
      <c r="B2" s="4" t="n"/>
      <c r="C2" s="4" t="n"/>
      <c r="D2" s="4" t="n"/>
      <c r="E2" s="4" t="n"/>
      <c r="F2" s="6" t="n"/>
      <c r="G2" s="6" t="n"/>
      <c r="H2" s="4" t="n"/>
      <c r="I2" s="4">
        <f>IF($C2="","",INDEX(Subetapas!$A:$A,MATCH($C2,Subetapas!$B:$B,0)))</f>
        <v/>
      </c>
    </row>
    <row r="3">
      <c r="A3" s="4">
        <f>IF($B3="","","SRV-"&amp;TEXT(ROW()-1,"0000"))</f>
        <v/>
      </c>
      <c r="B3" s="4" t="n"/>
      <c r="C3" s="4" t="n"/>
      <c r="D3" s="4" t="n"/>
      <c r="E3" s="4" t="n"/>
      <c r="F3" s="6" t="n"/>
      <c r="G3" s="6" t="n"/>
      <c r="H3" s="4" t="n"/>
      <c r="I3" s="4">
        <f>IF($C3="","",INDEX(Subetapas!$A:$A,MATCH($C3,Subetapas!$B:$B,0)))</f>
        <v/>
      </c>
    </row>
    <row r="4">
      <c r="A4" s="4">
        <f>IF($B4="","","SRV-"&amp;TEXT(ROW()-1,"0000"))</f>
        <v/>
      </c>
      <c r="B4" s="4" t="n"/>
      <c r="C4" s="4" t="n"/>
      <c r="D4" s="4" t="n"/>
      <c r="E4" s="4" t="n"/>
      <c r="F4" s="6" t="n"/>
      <c r="G4" s="6" t="n"/>
      <c r="H4" s="4" t="n"/>
      <c r="I4" s="4">
        <f>IF($C4="","",INDEX(Subetapas!$A:$A,MATCH($C4,Subetapas!$B:$B,0)))</f>
        <v/>
      </c>
    </row>
    <row r="5">
      <c r="A5" s="4">
        <f>IF($B5="","","SRV-"&amp;TEXT(ROW()-1,"0000"))</f>
        <v/>
      </c>
      <c r="B5" s="4" t="n"/>
      <c r="C5" s="4" t="n"/>
      <c r="D5" s="4" t="n"/>
      <c r="E5" s="4" t="n"/>
      <c r="F5" s="6" t="n"/>
      <c r="G5" s="6" t="n"/>
      <c r="H5" s="4" t="n"/>
      <c r="I5" s="4">
        <f>IF($C5="","",INDEX(Subetapas!$A:$A,MATCH($C5,Subetapas!$B:$B,0)))</f>
        <v/>
      </c>
    </row>
    <row r="6">
      <c r="A6" s="4">
        <f>IF($B6="","","SRV-"&amp;TEXT(ROW()-1,"0000"))</f>
        <v/>
      </c>
      <c r="B6" s="4" t="n"/>
      <c r="C6" s="4" t="n"/>
      <c r="D6" s="4" t="n"/>
      <c r="E6" s="4" t="n"/>
      <c r="F6" s="6" t="n"/>
      <c r="G6" s="6" t="n"/>
      <c r="H6" s="4" t="n"/>
      <c r="I6" s="4">
        <f>IF($C6="","",INDEX(Subetapas!$A:$A,MATCH($C6,Subetapas!$B:$B,0)))</f>
        <v/>
      </c>
    </row>
    <row r="7">
      <c r="A7" s="4">
        <f>IF($B7="","","SRV-"&amp;TEXT(ROW()-1,"0000"))</f>
        <v/>
      </c>
      <c r="B7" s="4" t="n"/>
      <c r="C7" s="4" t="n"/>
      <c r="D7" s="4" t="n"/>
      <c r="E7" s="4" t="n"/>
      <c r="F7" s="6" t="n"/>
      <c r="G7" s="6" t="n"/>
      <c r="H7" s="4" t="n"/>
      <c r="I7" s="4">
        <f>IF($C7="","",INDEX(Subetapas!$A:$A,MATCH($C7,Subetapas!$B:$B,0)))</f>
        <v/>
      </c>
    </row>
    <row r="8">
      <c r="A8" s="4">
        <f>IF($B8="","","SRV-"&amp;TEXT(ROW()-1,"0000"))</f>
        <v/>
      </c>
      <c r="B8" s="4" t="n"/>
      <c r="C8" s="4" t="n"/>
      <c r="D8" s="4" t="n"/>
      <c r="E8" s="4" t="n"/>
      <c r="F8" s="6" t="n"/>
      <c r="G8" s="6" t="n"/>
      <c r="H8" s="4" t="n"/>
      <c r="I8" s="4">
        <f>IF($C8="","",INDEX(Subetapas!$A:$A,MATCH($C8,Subetapas!$B:$B,0)))</f>
        <v/>
      </c>
    </row>
    <row r="9">
      <c r="A9" s="4">
        <f>IF($B9="","","SRV-"&amp;TEXT(ROW()-1,"0000"))</f>
        <v/>
      </c>
      <c r="B9" s="4" t="n"/>
      <c r="C9" s="4" t="n"/>
      <c r="D9" s="4" t="n"/>
      <c r="E9" s="4" t="n"/>
      <c r="F9" s="6" t="n"/>
      <c r="G9" s="6" t="n"/>
      <c r="H9" s="4" t="n"/>
      <c r="I9" s="4">
        <f>IF($C9="","",INDEX(Subetapas!$A:$A,MATCH($C9,Subetapas!$B:$B,0)))</f>
        <v/>
      </c>
    </row>
    <row r="10">
      <c r="A10" s="4">
        <f>IF($B10="","","SRV-"&amp;TEXT(ROW()-1,"0000"))</f>
        <v/>
      </c>
      <c r="B10" s="4" t="n"/>
      <c r="C10" s="4" t="n"/>
      <c r="D10" s="4" t="n"/>
      <c r="E10" s="4" t="n"/>
      <c r="F10" s="6" t="n"/>
      <c r="G10" s="6" t="n"/>
      <c r="H10" s="4" t="n"/>
      <c r="I10" s="4">
        <f>IF($C10="","",INDEX(Subetapas!$A:$A,MATCH($C10,Subetapas!$B:$B,0)))</f>
        <v/>
      </c>
    </row>
    <row r="11">
      <c r="A11" s="4">
        <f>IF($B11="","","SRV-"&amp;TEXT(ROW()-1,"0000"))</f>
        <v/>
      </c>
      <c r="B11" s="4" t="n"/>
      <c r="C11" s="4" t="n"/>
      <c r="D11" s="4" t="n"/>
      <c r="E11" s="4" t="n"/>
      <c r="F11" s="6" t="n"/>
      <c r="G11" s="6" t="n"/>
      <c r="H11" s="4" t="n"/>
      <c r="I11" s="4">
        <f>IF($C11="","",INDEX(Subetapas!$A:$A,MATCH($C11,Subetapas!$B:$B,0)))</f>
        <v/>
      </c>
    </row>
    <row r="12">
      <c r="A12" s="4">
        <f>IF($B12="","","SRV-"&amp;TEXT(ROW()-1,"0000"))</f>
        <v/>
      </c>
      <c r="B12" s="4" t="n"/>
      <c r="C12" s="4" t="n"/>
      <c r="D12" s="4" t="n"/>
      <c r="E12" s="4" t="n"/>
      <c r="F12" s="6" t="n"/>
      <c r="G12" s="6" t="n"/>
      <c r="H12" s="4" t="n"/>
      <c r="I12" s="4">
        <f>IF($C12="","",INDEX(Subetapas!$A:$A,MATCH($C12,Subetapas!$B:$B,0)))</f>
        <v/>
      </c>
    </row>
    <row r="13">
      <c r="A13" s="4">
        <f>IF($B13="","","SRV-"&amp;TEXT(ROW()-1,"0000"))</f>
        <v/>
      </c>
      <c r="B13" s="4" t="n"/>
      <c r="C13" s="4" t="n"/>
      <c r="D13" s="4" t="n"/>
      <c r="E13" s="4" t="n"/>
      <c r="F13" s="6" t="n"/>
      <c r="G13" s="6" t="n"/>
      <c r="H13" s="4" t="n"/>
      <c r="I13" s="4">
        <f>IF($C13="","",INDEX(Subetapas!$A:$A,MATCH($C13,Subetapas!$B:$B,0)))</f>
        <v/>
      </c>
    </row>
    <row r="14">
      <c r="A14" s="4">
        <f>IF($B14="","","SRV-"&amp;TEXT(ROW()-1,"0000"))</f>
        <v/>
      </c>
      <c r="B14" s="4" t="n"/>
      <c r="C14" s="4" t="n"/>
      <c r="D14" s="4" t="n"/>
      <c r="E14" s="4" t="n"/>
      <c r="F14" s="6" t="n"/>
      <c r="G14" s="6" t="n"/>
      <c r="H14" s="4" t="n"/>
      <c r="I14" s="4">
        <f>IF($C14="","",INDEX(Subetapas!$A:$A,MATCH($C14,Subetapas!$B:$B,0)))</f>
        <v/>
      </c>
    </row>
    <row r="15">
      <c r="A15" s="4">
        <f>IF($B15="","","SRV-"&amp;TEXT(ROW()-1,"0000"))</f>
        <v/>
      </c>
      <c r="B15" s="4" t="n"/>
      <c r="C15" s="4" t="n"/>
      <c r="D15" s="4" t="n"/>
      <c r="E15" s="4" t="n"/>
      <c r="F15" s="6" t="n"/>
      <c r="G15" s="6" t="n"/>
      <c r="H15" s="4" t="n"/>
      <c r="I15" s="4">
        <f>IF($C15="","",INDEX(Subetapas!$A:$A,MATCH($C15,Subetapas!$B:$B,0)))</f>
        <v/>
      </c>
    </row>
    <row r="16">
      <c r="A16" s="4">
        <f>IF($B16="","","SRV-"&amp;TEXT(ROW()-1,"0000"))</f>
        <v/>
      </c>
      <c r="B16" s="4" t="n"/>
      <c r="C16" s="4" t="n"/>
      <c r="D16" s="4" t="n"/>
      <c r="E16" s="4" t="n"/>
      <c r="F16" s="6" t="n"/>
      <c r="G16" s="6" t="n"/>
      <c r="H16" s="4" t="n"/>
      <c r="I16" s="4">
        <f>IF($C16="","",INDEX(Subetapas!$A:$A,MATCH($C16,Subetapas!$B:$B,0)))</f>
        <v/>
      </c>
    </row>
    <row r="17">
      <c r="A17" s="4">
        <f>IF($B17="","","SRV-"&amp;TEXT(ROW()-1,"0000"))</f>
        <v/>
      </c>
      <c r="B17" s="4" t="n"/>
      <c r="C17" s="4" t="n"/>
      <c r="D17" s="4" t="n"/>
      <c r="E17" s="4" t="n"/>
      <c r="F17" s="6" t="n"/>
      <c r="G17" s="6" t="n"/>
      <c r="H17" s="4" t="n"/>
      <c r="I17" s="4">
        <f>IF($C17="","",INDEX(Subetapas!$A:$A,MATCH($C17,Subetapas!$B:$B,0)))</f>
        <v/>
      </c>
    </row>
    <row r="18">
      <c r="A18" s="4">
        <f>IF($B18="","","SRV-"&amp;TEXT(ROW()-1,"0000"))</f>
        <v/>
      </c>
      <c r="B18" s="4" t="n"/>
      <c r="C18" s="4" t="n"/>
      <c r="D18" s="4" t="n"/>
      <c r="E18" s="4" t="n"/>
      <c r="F18" s="6" t="n"/>
      <c r="G18" s="6" t="n"/>
      <c r="H18" s="4" t="n"/>
      <c r="I18" s="4">
        <f>IF($C18="","",INDEX(Subetapas!$A:$A,MATCH($C18,Subetapas!$B:$B,0)))</f>
        <v/>
      </c>
    </row>
    <row r="19">
      <c r="A19" s="4">
        <f>IF($B19="","","SRV-"&amp;TEXT(ROW()-1,"0000"))</f>
        <v/>
      </c>
      <c r="B19" s="4" t="n"/>
      <c r="C19" s="4" t="n"/>
      <c r="D19" s="4" t="n"/>
      <c r="E19" s="4" t="n"/>
      <c r="F19" s="6" t="n"/>
      <c r="G19" s="6" t="n"/>
      <c r="H19" s="4" t="n"/>
      <c r="I19" s="4">
        <f>IF($C19="","",INDEX(Subetapas!$A:$A,MATCH($C19,Subetapas!$B:$B,0)))</f>
        <v/>
      </c>
    </row>
    <row r="20">
      <c r="A20" s="4">
        <f>IF($B20="","","SRV-"&amp;TEXT(ROW()-1,"0000"))</f>
        <v/>
      </c>
      <c r="B20" s="4" t="n"/>
      <c r="C20" s="4" t="n"/>
      <c r="D20" s="4" t="n"/>
      <c r="E20" s="4" t="n"/>
      <c r="F20" s="6" t="n"/>
      <c r="G20" s="6" t="n"/>
      <c r="H20" s="4" t="n"/>
      <c r="I20" s="4">
        <f>IF($C20="","",INDEX(Subetapas!$A:$A,MATCH($C20,Subetapas!$B:$B,0)))</f>
        <v/>
      </c>
    </row>
    <row r="21">
      <c r="A21" s="4">
        <f>IF($B21="","","SRV-"&amp;TEXT(ROW()-1,"0000"))</f>
        <v/>
      </c>
      <c r="B21" s="4" t="n"/>
      <c r="C21" s="4" t="n"/>
      <c r="D21" s="4" t="n"/>
      <c r="E21" s="4" t="n"/>
      <c r="F21" s="6" t="n"/>
      <c r="G21" s="6" t="n"/>
      <c r="H21" s="4" t="n"/>
      <c r="I21" s="4">
        <f>IF($C21="","",INDEX(Subetapas!$A:$A,MATCH($C21,Subetapas!$B:$B,0)))</f>
        <v/>
      </c>
    </row>
    <row r="22">
      <c r="A22" s="4">
        <f>IF($B22="","","SRV-"&amp;TEXT(ROW()-1,"0000"))</f>
        <v/>
      </c>
      <c r="B22" s="4" t="n"/>
      <c r="C22" s="4" t="n"/>
      <c r="D22" s="4" t="n"/>
      <c r="E22" s="4" t="n"/>
      <c r="F22" s="6" t="n"/>
      <c r="G22" s="6" t="n"/>
      <c r="H22" s="4" t="n"/>
      <c r="I22" s="4">
        <f>IF($C22="","",INDEX(Subetapas!$A:$A,MATCH($C22,Subetapas!$B:$B,0)))</f>
        <v/>
      </c>
    </row>
    <row r="23">
      <c r="A23" s="4">
        <f>IF($B23="","","SRV-"&amp;TEXT(ROW()-1,"0000"))</f>
        <v/>
      </c>
      <c r="B23" s="4" t="n"/>
      <c r="C23" s="4" t="n"/>
      <c r="D23" s="4" t="n"/>
      <c r="E23" s="4" t="n"/>
      <c r="F23" s="6" t="n"/>
      <c r="G23" s="6" t="n"/>
      <c r="H23" s="4" t="n"/>
      <c r="I23" s="4">
        <f>IF($C23="","",INDEX(Subetapas!$A:$A,MATCH($C23,Subetapas!$B:$B,0)))</f>
        <v/>
      </c>
    </row>
    <row r="24">
      <c r="A24" s="4">
        <f>IF($B24="","","SRV-"&amp;TEXT(ROW()-1,"0000"))</f>
        <v/>
      </c>
      <c r="B24" s="4" t="n"/>
      <c r="C24" s="4" t="n"/>
      <c r="D24" s="4" t="n"/>
      <c r="E24" s="4" t="n"/>
      <c r="F24" s="6" t="n"/>
      <c r="G24" s="6" t="n"/>
      <c r="H24" s="4" t="n"/>
      <c r="I24" s="4">
        <f>IF($C24="","",INDEX(Subetapas!$A:$A,MATCH($C24,Subetapas!$B:$B,0)))</f>
        <v/>
      </c>
    </row>
    <row r="25">
      <c r="A25" s="4">
        <f>IF($B25="","","SRV-"&amp;TEXT(ROW()-1,"0000"))</f>
        <v/>
      </c>
      <c r="B25" s="4" t="n"/>
      <c r="C25" s="4" t="n"/>
      <c r="D25" s="4" t="n"/>
      <c r="E25" s="4" t="n"/>
      <c r="F25" s="6" t="n"/>
      <c r="G25" s="6" t="n"/>
      <c r="H25" s="4" t="n"/>
      <c r="I25" s="4">
        <f>IF($C25="","",INDEX(Subetapas!$A:$A,MATCH($C25,Subetapas!$B:$B,0)))</f>
        <v/>
      </c>
    </row>
    <row r="26">
      <c r="A26" s="4">
        <f>IF($B26="","","SRV-"&amp;TEXT(ROW()-1,"0000"))</f>
        <v/>
      </c>
      <c r="B26" s="4" t="n"/>
      <c r="C26" s="4" t="n"/>
      <c r="D26" s="4" t="n"/>
      <c r="E26" s="4" t="n"/>
      <c r="F26" s="6" t="n"/>
      <c r="G26" s="6" t="n"/>
      <c r="H26" s="4" t="n"/>
      <c r="I26" s="4">
        <f>IF($C26="","",INDEX(Subetapas!$A:$A,MATCH($C26,Subetapas!$B:$B,0)))</f>
        <v/>
      </c>
    </row>
    <row r="27">
      <c r="A27" s="4">
        <f>IF($B27="","","SRV-"&amp;TEXT(ROW()-1,"0000"))</f>
        <v/>
      </c>
      <c r="B27" s="4" t="n"/>
      <c r="C27" s="4" t="n"/>
      <c r="D27" s="4" t="n"/>
      <c r="E27" s="4" t="n"/>
      <c r="F27" s="6" t="n"/>
      <c r="G27" s="6" t="n"/>
      <c r="H27" s="4" t="n"/>
      <c r="I27" s="4">
        <f>IF($C27="","",INDEX(Subetapas!$A:$A,MATCH($C27,Subetapas!$B:$B,0)))</f>
        <v/>
      </c>
    </row>
    <row r="28">
      <c r="A28" s="4">
        <f>IF($B28="","","SRV-"&amp;TEXT(ROW()-1,"0000"))</f>
        <v/>
      </c>
      <c r="B28" s="4" t="n"/>
      <c r="C28" s="4" t="n"/>
      <c r="D28" s="4" t="n"/>
      <c r="E28" s="4" t="n"/>
      <c r="F28" s="6" t="n"/>
      <c r="G28" s="6" t="n"/>
      <c r="H28" s="4" t="n"/>
      <c r="I28" s="4">
        <f>IF($C28="","",INDEX(Subetapas!$A:$A,MATCH($C28,Subetapas!$B:$B,0)))</f>
        <v/>
      </c>
    </row>
    <row r="29">
      <c r="A29" s="4">
        <f>IF($B29="","","SRV-"&amp;TEXT(ROW()-1,"0000"))</f>
        <v/>
      </c>
      <c r="B29" s="4" t="n"/>
      <c r="C29" s="4" t="n"/>
      <c r="D29" s="4" t="n"/>
      <c r="E29" s="4" t="n"/>
      <c r="F29" s="6" t="n"/>
      <c r="G29" s="6" t="n"/>
      <c r="H29" s="4" t="n"/>
      <c r="I29" s="4">
        <f>IF($C29="","",INDEX(Subetapas!$A:$A,MATCH($C29,Subetapas!$B:$B,0)))</f>
        <v/>
      </c>
    </row>
    <row r="30">
      <c r="A30" s="4">
        <f>IF($B30="","","SRV-"&amp;TEXT(ROW()-1,"0000"))</f>
        <v/>
      </c>
      <c r="B30" s="4" t="n"/>
      <c r="C30" s="4" t="n"/>
      <c r="D30" s="4" t="n"/>
      <c r="E30" s="4" t="n"/>
      <c r="F30" s="6" t="n"/>
      <c r="G30" s="6" t="n"/>
      <c r="H30" s="4" t="n"/>
      <c r="I30" s="4">
        <f>IF($C30="","",INDEX(Subetapas!$A:$A,MATCH($C30,Subetapas!$B:$B,0)))</f>
        <v/>
      </c>
    </row>
    <row r="31">
      <c r="A31" s="4">
        <f>IF($B31="","","SRV-"&amp;TEXT(ROW()-1,"0000"))</f>
        <v/>
      </c>
      <c r="B31" s="4" t="n"/>
      <c r="C31" s="4" t="n"/>
      <c r="D31" s="4" t="n"/>
      <c r="E31" s="4" t="n"/>
      <c r="F31" s="6" t="n"/>
      <c r="G31" s="6" t="n"/>
      <c r="H31" s="4" t="n"/>
      <c r="I31" s="4">
        <f>IF($C31="","",INDEX(Subetapas!$A:$A,MATCH($C31,Subetapas!$B:$B,0)))</f>
        <v/>
      </c>
    </row>
  </sheetData>
  <dataValidations count="3">
    <dataValidation sqref="C2:C31" showDropDown="0" showInputMessage="0" showErrorMessage="1" allowBlank="1" errorTitle="Subetapa inválida" error="Selecione uma Subetapa já cadastrada na aba Subetapas." type="list">
      <formula1>Lista_Subetapas</formula1>
    </dataValidation>
    <dataValidation sqref="E2:E31" showDropDown="0" showInputMessage="0" showErrorMessage="1" allowBlank="1" errorTitle="Quantidade inválida" error="Informe um número maior ou igual a zero." type="decimal" operator="greaterThanOrEqual">
      <formula1>0</formula1>
    </dataValidation>
    <dataValidation sqref="F2:F31 G2:G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8" t="inlineStr">
        <is>
          <t>Metadados internos — não editar</t>
        </is>
      </c>
      <c r="B1" s="2" t="n"/>
    </row>
    <row r="2">
      <c r="A2" s="3" t="inlineStr">
        <is>
          <t>ID da Obra (técnico)</t>
        </is>
      </c>
      <c r="B2" t="inlineStr">
        <is>
          <t>OBR-0001</t>
        </is>
      </c>
    </row>
    <row r="4">
      <c r="A4" s="3" t="inlineStr">
        <is>
          <t>Prefixos de ID técnico homologados (ver Etapa 1, Seção 7)</t>
        </is>
      </c>
    </row>
    <row r="5">
      <c r="A5" t="inlineStr">
        <is>
          <t>OBRAS</t>
        </is>
      </c>
      <c r="B5" t="inlineStr">
        <is>
          <t>OBR</t>
        </is>
      </c>
    </row>
    <row r="6">
      <c r="A6" t="inlineStr">
        <is>
          <t>ETAPAS</t>
        </is>
      </c>
      <c r="B6" t="inlineStr">
        <is>
          <t>ETA</t>
        </is>
      </c>
    </row>
    <row r="7">
      <c r="A7" t="inlineStr">
        <is>
          <t>SUBETAPAS</t>
        </is>
      </c>
      <c r="B7" t="inlineStr">
        <is>
          <t>SUB</t>
        </is>
      </c>
    </row>
    <row r="8">
      <c r="A8" t="inlineStr">
        <is>
          <t>SERVICOS_ORCAMENTO</t>
        </is>
      </c>
      <c r="B8" t="inlineStr">
        <is>
          <t>SRV</t>
        </is>
      </c>
    </row>
    <row r="9">
      <c r="A9" t="inlineStr">
        <is>
          <t>PLANEJAMENTO</t>
        </is>
      </c>
      <c r="B9" t="inlineStr">
        <is>
          <t>PLN</t>
        </is>
      </c>
    </row>
    <row r="10">
      <c r="A10" t="inlineStr">
        <is>
          <t>FORNECEDORES</t>
        </is>
      </c>
      <c r="B10" t="inlineStr">
        <is>
          <t>FOR</t>
        </is>
      </c>
    </row>
    <row r="11">
      <c r="A11" t="inlineStr">
        <is>
          <t>COMPRAS</t>
        </is>
      </c>
      <c r="B11" t="inlineStr">
        <is>
          <t>COM</t>
        </is>
      </c>
    </row>
    <row r="12">
      <c r="A12" t="inlineStr">
        <is>
          <t>FINANCEIRO</t>
        </is>
      </c>
      <c r="B12" t="inlineStr">
        <is>
          <t>FIN</t>
        </is>
      </c>
    </row>
    <row r="13">
      <c r="A13" t="inlineStr">
        <is>
          <t>EXECUCAO_MEDICOES</t>
        </is>
      </c>
      <c r="B13" t="inlineStr">
        <is>
          <t>EXE</t>
        </is>
      </c>
    </row>
    <row r="14">
      <c r="A14" t="inlineStr">
        <is>
          <t>ALTERACOES</t>
        </is>
      </c>
      <c r="B14" t="inlineStr">
        <is>
          <t>ALT</t>
        </is>
      </c>
    </row>
    <row r="15">
      <c r="A15" t="inlineStr">
        <is>
          <t>PENDENCIAS</t>
        </is>
      </c>
      <c r="B15" t="inlineStr">
        <is>
          <t>PEN</t>
        </is>
      </c>
    </row>
    <row r="16">
      <c r="A16" t="inlineStr">
        <is>
          <t>ATUALIZACOES</t>
        </is>
      </c>
      <c r="B16" t="inlineStr">
        <is>
          <t>ATU</t>
        </is>
      </c>
    </row>
    <row r="17">
      <c r="A17" t="inlineStr">
        <is>
          <t>DOCUMENTOS</t>
        </is>
      </c>
      <c r="B17" t="inlineStr">
        <is>
          <t>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2026-09-17T00:32:09Z</dcterms:created>
  <dcterms:modified xsi:type="dcterms:W3CDTF">2026-09-17T00:32:09Z</dcterms:modified>
</cp:coreProperties>
</file>