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ício" sheetId="1" state="visible" r:id="rId1"/>
    <sheet name="Etapas" sheetId="2" state="visible" r:id="rId2"/>
    <sheet name="Subetapas" sheetId="3" state="visible" r:id="rId3"/>
    <sheet name="Serviços" sheetId="4" state="visible" r:id="rId4"/>
    <sheet name="Financeiro" sheetId="5" state="visible" r:id="rId5"/>
    <sheet name="Pagamentos" sheetId="6" state="visible" r:id="rId6"/>
    <sheet name="Resumo Financeiro" sheetId="7" state="visible" r:id="rId7"/>
    <sheet name="Base_Dados" sheetId="8" state="hidden" r:id="rId8"/>
  </sheets>
  <definedNames>
    <definedName name="Lista_Etapas">Etapas!$B$2:$B$1000</definedName>
    <definedName name="Lista_Subetapas">Subetapas!$B$2:$B$1000</definedName>
    <definedName name="Lista_Financeiro_Descricoes">Financeiro!$D$2:$D$31</definedName>
    <definedName name="_xlnm._FilterDatabase" localSheetId="1" hidden="1">'Etapas'!$A$1:$F$31</definedName>
    <definedName name="_xlnm._FilterDatabase" localSheetId="2" hidden="1">'Subetapas'!$A$1:$F$31</definedName>
    <definedName name="_xlnm._FilterDatabase" localSheetId="3" hidden="1">'Serviços'!$A$1:$M$31</definedName>
    <definedName name="_xlnm._FilterDatabase" localSheetId="4" hidden="1">'Financeiro'!$A$1:$M$31</definedName>
    <definedName name="_xlnm._FilterDatabase" localSheetId="5" hidden="1">'Pagamentos'!$A$1:$F$31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4">
    <font>
      <name val="Calibri"/>
      <family val="2"/>
      <color theme="1"/>
      <sz val="11"/>
      <scheme val="minor"/>
    </font>
    <font>
      <b val="1"/>
      <color rgb="FFFFFFFF"/>
    </font>
    <font>
      <b val="1"/>
      <color rgb="FF5A5F5B"/>
    </font>
    <font>
      <i val="1"/>
      <color rgb="FF5A5F5B"/>
    </font>
  </fonts>
  <fills count="4">
    <fill>
      <patternFill/>
    </fill>
    <fill>
      <patternFill patternType="gray125"/>
    </fill>
    <fill>
      <patternFill patternType="solid">
        <fgColor rgb="FF0F1C2C"/>
      </patternFill>
    </fill>
    <fill>
      <patternFill patternType="solid">
        <fgColor rgb="FFABB6BA"/>
      </patternFill>
    </fill>
  </fills>
  <borders count="2">
    <border>
      <left/>
      <right/>
      <top/>
      <bottom/>
      <diagonal/>
    </border>
    <border>
      <left style="thin">
        <color rgb="FFABB6BA"/>
      </left>
      <right style="thin">
        <color rgb="FFABB6BA"/>
      </right>
      <top style="thin">
        <color rgb="FFABB6BA"/>
      </top>
      <bottom style="thin">
        <color rgb="FFABB6B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4" fontId="3" fillId="3" borderId="1" pivotButton="0" quotePrefix="0" xfId="0"/>
    <xf numFmtId="0" fontId="1" fillId="2" borderId="1" applyAlignment="1" pivotButton="0" quotePrefix="0" xfId="0">
      <alignment horizontal="center" vertical="center" wrapText="1"/>
    </xf>
    <xf numFmtId="4" fontId="0" fillId="0" borderId="1" pivotButton="0" quotePrefix="0" xfId="0"/>
    <xf numFmtId="0" fontId="3" fillId="3" borderId="1" pivotButton="0" quotePrefix="0" xfId="0"/>
    <xf numFmtId="165" fontId="0" fillId="0" borderId="1" pivotButton="0" quotePrefix="0" xfId="0"/>
    <xf numFmtId="165" fontId="3" fillId="3" borderId="1" pivotButton="0" quotePrefix="0" xfId="0"/>
    <xf numFmtId="0" fontId="1" fillId="2" borderId="0" pivotButton="0" quotePrefix="0" xfId="0"/>
    <xf numFmtId="10" fontId="3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" t="inlineStr">
        <is>
          <t>Dados da Obra</t>
        </is>
      </c>
      <c r="B1" s="2" t="n"/>
    </row>
    <row r="2">
      <c r="A2" s="3" t="inlineStr">
        <is>
          <t>Nome da Obra</t>
        </is>
      </c>
      <c r="B2" s="4" t="n"/>
    </row>
    <row r="3">
      <c r="A3" s="3" t="inlineStr">
        <is>
          <t>Cliente/Contratante</t>
        </is>
      </c>
      <c r="B3" s="4" t="n"/>
    </row>
    <row r="4">
      <c r="A4" s="3" t="inlineStr">
        <is>
          <t>Endereço</t>
        </is>
      </c>
      <c r="B4" s="4" t="n"/>
    </row>
    <row r="5">
      <c r="A5" s="3" t="inlineStr">
        <is>
          <t>Responsável Técnico</t>
        </is>
      </c>
      <c r="B5" s="4" t="n"/>
    </row>
    <row r="6">
      <c r="A6" s="3" t="inlineStr">
        <is>
          <t>Data Inicial Planejada</t>
        </is>
      </c>
      <c r="B6" s="5" t="n"/>
    </row>
    <row r="7">
      <c r="A7" s="3" t="inlineStr">
        <is>
          <t>Data Final Planejada</t>
        </is>
      </c>
      <c r="B7" s="5" t="n"/>
    </row>
    <row r="8">
      <c r="A8" s="3" t="inlineStr">
        <is>
          <t>Orçamento Inicial (Previsto)</t>
        </is>
      </c>
      <c r="B8" s="6">
        <f>SUM(Etapas!$F$2:$F$31)</f>
        <v/>
      </c>
    </row>
  </sheetData>
  <dataValidations count="2">
    <dataValidation sqref="B6" showDropDown="0" showInputMessage="0" showErrorMessage="1" allowBlank="1" errorTitle="Data inválida" error="Informe uma data válida." type="date" operator="greaterThanOrEqual">
      <formula1>1900-01-01</formula1>
    </dataValidation>
    <dataValidation sqref="B7" showDropDown="0" showInputMessage="0" showErrorMessage="1" allowBlank="1" errorTitle="Data inválida" error="Informe uma data válida." type="date" operator="greaterThanOrEqual">
      <formula1>1900-01-01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10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Ordem</t>
        </is>
      </c>
      <c r="D1" s="7" t="inlineStr">
        <is>
          <t>Status</t>
        </is>
      </c>
      <c r="E1" s="7" t="inlineStr">
        <is>
          <t>ID_Obra (técnico)</t>
        </is>
      </c>
      <c r="F1" s="7" t="inlineStr">
        <is>
          <t>Total Previsto (Subetapas)</t>
        </is>
      </c>
    </row>
    <row r="2">
      <c r="A2" s="4">
        <f>IF($B2="","","ETA-"&amp;TEXT(ROW()-1,"0000"))</f>
        <v/>
      </c>
      <c r="B2" s="4" t="n"/>
      <c r="C2" s="4" t="n"/>
      <c r="D2" s="4" t="n"/>
      <c r="E2" s="4">
        <f>IF($B2="","",Base_Dados!$B$2)</f>
        <v/>
      </c>
      <c r="F2" s="6">
        <f>IF($B2="","",SUMIFS(Subetapas!$F:$F,Subetapas!$E:$E,$A2))</f>
        <v/>
      </c>
    </row>
    <row r="3">
      <c r="A3" s="4">
        <f>IF($B3="","","ETA-"&amp;TEXT(ROW()-1,"0000"))</f>
        <v/>
      </c>
      <c r="B3" s="4" t="n"/>
      <c r="C3" s="4" t="n"/>
      <c r="D3" s="4" t="n"/>
      <c r="E3" s="4">
        <f>IF($B3="","",Base_Dados!$B$2)</f>
        <v/>
      </c>
      <c r="F3" s="6">
        <f>IF($B3="","",SUMIFS(Subetapas!$F:$F,Subetapas!$E:$E,$A3))</f>
        <v/>
      </c>
    </row>
    <row r="4">
      <c r="A4" s="4">
        <f>IF($B4="","","ETA-"&amp;TEXT(ROW()-1,"0000"))</f>
        <v/>
      </c>
      <c r="B4" s="4" t="n"/>
      <c r="C4" s="4" t="n"/>
      <c r="D4" s="4" t="n"/>
      <c r="E4" s="4">
        <f>IF($B4="","",Base_Dados!$B$2)</f>
        <v/>
      </c>
      <c r="F4" s="6">
        <f>IF($B4="","",SUMIFS(Subetapas!$F:$F,Subetapas!$E:$E,$A4))</f>
        <v/>
      </c>
    </row>
    <row r="5">
      <c r="A5" s="4">
        <f>IF($B5="","","ETA-"&amp;TEXT(ROW()-1,"0000"))</f>
        <v/>
      </c>
      <c r="B5" s="4" t="n"/>
      <c r="C5" s="4" t="n"/>
      <c r="D5" s="4" t="n"/>
      <c r="E5" s="4">
        <f>IF($B5="","",Base_Dados!$B$2)</f>
        <v/>
      </c>
      <c r="F5" s="6">
        <f>IF($B5="","",SUMIFS(Subetapas!$F:$F,Subetapas!$E:$E,$A5))</f>
        <v/>
      </c>
    </row>
    <row r="6">
      <c r="A6" s="4">
        <f>IF($B6="","","ETA-"&amp;TEXT(ROW()-1,"0000"))</f>
        <v/>
      </c>
      <c r="B6" s="4" t="n"/>
      <c r="C6" s="4" t="n"/>
      <c r="D6" s="4" t="n"/>
      <c r="E6" s="4">
        <f>IF($B6="","",Base_Dados!$B$2)</f>
        <v/>
      </c>
      <c r="F6" s="6">
        <f>IF($B6="","",SUMIFS(Subetapas!$F:$F,Subetapas!$E:$E,$A6))</f>
        <v/>
      </c>
    </row>
    <row r="7">
      <c r="A7" s="4">
        <f>IF($B7="","","ETA-"&amp;TEXT(ROW()-1,"0000"))</f>
        <v/>
      </c>
      <c r="B7" s="4" t="n"/>
      <c r="C7" s="4" t="n"/>
      <c r="D7" s="4" t="n"/>
      <c r="E7" s="4">
        <f>IF($B7="","",Base_Dados!$B$2)</f>
        <v/>
      </c>
      <c r="F7" s="6">
        <f>IF($B7="","",SUMIFS(Subetapas!$F:$F,Subetapas!$E:$E,$A7))</f>
        <v/>
      </c>
    </row>
    <row r="8">
      <c r="A8" s="4">
        <f>IF($B8="","","ETA-"&amp;TEXT(ROW()-1,"0000"))</f>
        <v/>
      </c>
      <c r="B8" s="4" t="n"/>
      <c r="C8" s="4" t="n"/>
      <c r="D8" s="4" t="n"/>
      <c r="E8" s="4">
        <f>IF($B8="","",Base_Dados!$B$2)</f>
        <v/>
      </c>
      <c r="F8" s="6">
        <f>IF($B8="","",SUMIFS(Subetapas!$F:$F,Subetapas!$E:$E,$A8))</f>
        <v/>
      </c>
    </row>
    <row r="9">
      <c r="A9" s="4">
        <f>IF($B9="","","ETA-"&amp;TEXT(ROW()-1,"0000"))</f>
        <v/>
      </c>
      <c r="B9" s="4" t="n"/>
      <c r="C9" s="4" t="n"/>
      <c r="D9" s="4" t="n"/>
      <c r="E9" s="4">
        <f>IF($B9="","",Base_Dados!$B$2)</f>
        <v/>
      </c>
      <c r="F9" s="6">
        <f>IF($B9="","",SUMIFS(Subetapas!$F:$F,Subetapas!$E:$E,$A9))</f>
        <v/>
      </c>
    </row>
    <row r="10">
      <c r="A10" s="4">
        <f>IF($B10="","","ETA-"&amp;TEXT(ROW()-1,"0000"))</f>
        <v/>
      </c>
      <c r="B10" s="4" t="n"/>
      <c r="C10" s="4" t="n"/>
      <c r="D10" s="4" t="n"/>
      <c r="E10" s="4">
        <f>IF($B10="","",Base_Dados!$B$2)</f>
        <v/>
      </c>
      <c r="F10" s="6">
        <f>IF($B10="","",SUMIFS(Subetapas!$F:$F,Subetapas!$E:$E,$A10))</f>
        <v/>
      </c>
    </row>
    <row r="11">
      <c r="A11" s="4">
        <f>IF($B11="","","ETA-"&amp;TEXT(ROW()-1,"0000"))</f>
        <v/>
      </c>
      <c r="B11" s="4" t="n"/>
      <c r="C11" s="4" t="n"/>
      <c r="D11" s="4" t="n"/>
      <c r="E11" s="4">
        <f>IF($B11="","",Base_Dados!$B$2)</f>
        <v/>
      </c>
      <c r="F11" s="6">
        <f>IF($B11="","",SUMIFS(Subetapas!$F:$F,Subetapas!$E:$E,$A11))</f>
        <v/>
      </c>
    </row>
    <row r="12">
      <c r="A12" s="4">
        <f>IF($B12="","","ETA-"&amp;TEXT(ROW()-1,"0000"))</f>
        <v/>
      </c>
      <c r="B12" s="4" t="n"/>
      <c r="C12" s="4" t="n"/>
      <c r="D12" s="4" t="n"/>
      <c r="E12" s="4">
        <f>IF($B12="","",Base_Dados!$B$2)</f>
        <v/>
      </c>
      <c r="F12" s="6">
        <f>IF($B12="","",SUMIFS(Subetapas!$F:$F,Subetapas!$E:$E,$A12))</f>
        <v/>
      </c>
    </row>
    <row r="13">
      <c r="A13" s="4">
        <f>IF($B13="","","ETA-"&amp;TEXT(ROW()-1,"0000"))</f>
        <v/>
      </c>
      <c r="B13" s="4" t="n"/>
      <c r="C13" s="4" t="n"/>
      <c r="D13" s="4" t="n"/>
      <c r="E13" s="4">
        <f>IF($B13="","",Base_Dados!$B$2)</f>
        <v/>
      </c>
      <c r="F13" s="6">
        <f>IF($B13="","",SUMIFS(Subetapas!$F:$F,Subetapas!$E:$E,$A13))</f>
        <v/>
      </c>
    </row>
    <row r="14">
      <c r="A14" s="4">
        <f>IF($B14="","","ETA-"&amp;TEXT(ROW()-1,"0000"))</f>
        <v/>
      </c>
      <c r="B14" s="4" t="n"/>
      <c r="C14" s="4" t="n"/>
      <c r="D14" s="4" t="n"/>
      <c r="E14" s="4">
        <f>IF($B14="","",Base_Dados!$B$2)</f>
        <v/>
      </c>
      <c r="F14" s="6">
        <f>IF($B14="","",SUMIFS(Subetapas!$F:$F,Subetapas!$E:$E,$A14))</f>
        <v/>
      </c>
    </row>
    <row r="15">
      <c r="A15" s="4">
        <f>IF($B15="","","ETA-"&amp;TEXT(ROW()-1,"0000"))</f>
        <v/>
      </c>
      <c r="B15" s="4" t="n"/>
      <c r="C15" s="4" t="n"/>
      <c r="D15" s="4" t="n"/>
      <c r="E15" s="4">
        <f>IF($B15="","",Base_Dados!$B$2)</f>
        <v/>
      </c>
      <c r="F15" s="6">
        <f>IF($B15="","",SUMIFS(Subetapas!$F:$F,Subetapas!$E:$E,$A15))</f>
        <v/>
      </c>
    </row>
    <row r="16">
      <c r="A16" s="4">
        <f>IF($B16="","","ETA-"&amp;TEXT(ROW()-1,"0000"))</f>
        <v/>
      </c>
      <c r="B16" s="4" t="n"/>
      <c r="C16" s="4" t="n"/>
      <c r="D16" s="4" t="n"/>
      <c r="E16" s="4">
        <f>IF($B16="","",Base_Dados!$B$2)</f>
        <v/>
      </c>
      <c r="F16" s="6">
        <f>IF($B16="","",SUMIFS(Subetapas!$F:$F,Subetapas!$E:$E,$A16))</f>
        <v/>
      </c>
    </row>
    <row r="17">
      <c r="A17" s="4">
        <f>IF($B17="","","ETA-"&amp;TEXT(ROW()-1,"0000"))</f>
        <v/>
      </c>
      <c r="B17" s="4" t="n"/>
      <c r="C17" s="4" t="n"/>
      <c r="D17" s="4" t="n"/>
      <c r="E17" s="4">
        <f>IF($B17="","",Base_Dados!$B$2)</f>
        <v/>
      </c>
      <c r="F17" s="6">
        <f>IF($B17="","",SUMIFS(Subetapas!$F:$F,Subetapas!$E:$E,$A17))</f>
        <v/>
      </c>
    </row>
    <row r="18">
      <c r="A18" s="4">
        <f>IF($B18="","","ETA-"&amp;TEXT(ROW()-1,"0000"))</f>
        <v/>
      </c>
      <c r="B18" s="4" t="n"/>
      <c r="C18" s="4" t="n"/>
      <c r="D18" s="4" t="n"/>
      <c r="E18" s="4">
        <f>IF($B18="","",Base_Dados!$B$2)</f>
        <v/>
      </c>
      <c r="F18" s="6">
        <f>IF($B18="","",SUMIFS(Subetapas!$F:$F,Subetapas!$E:$E,$A18))</f>
        <v/>
      </c>
    </row>
    <row r="19">
      <c r="A19" s="4">
        <f>IF($B19="","","ETA-"&amp;TEXT(ROW()-1,"0000"))</f>
        <v/>
      </c>
      <c r="B19" s="4" t="n"/>
      <c r="C19" s="4" t="n"/>
      <c r="D19" s="4" t="n"/>
      <c r="E19" s="4">
        <f>IF($B19="","",Base_Dados!$B$2)</f>
        <v/>
      </c>
      <c r="F19" s="6">
        <f>IF($B19="","",SUMIFS(Subetapas!$F:$F,Subetapas!$E:$E,$A19))</f>
        <v/>
      </c>
    </row>
    <row r="20">
      <c r="A20" s="4">
        <f>IF($B20="","","ETA-"&amp;TEXT(ROW()-1,"0000"))</f>
        <v/>
      </c>
      <c r="B20" s="4" t="n"/>
      <c r="C20" s="4" t="n"/>
      <c r="D20" s="4" t="n"/>
      <c r="E20" s="4">
        <f>IF($B20="","",Base_Dados!$B$2)</f>
        <v/>
      </c>
      <c r="F20" s="6">
        <f>IF($B20="","",SUMIFS(Subetapas!$F:$F,Subetapas!$E:$E,$A20))</f>
        <v/>
      </c>
    </row>
    <row r="21">
      <c r="A21" s="4">
        <f>IF($B21="","","ETA-"&amp;TEXT(ROW()-1,"0000"))</f>
        <v/>
      </c>
      <c r="B21" s="4" t="n"/>
      <c r="C21" s="4" t="n"/>
      <c r="D21" s="4" t="n"/>
      <c r="E21" s="4">
        <f>IF($B21="","",Base_Dados!$B$2)</f>
        <v/>
      </c>
      <c r="F21" s="6">
        <f>IF($B21="","",SUMIFS(Subetapas!$F:$F,Subetapas!$E:$E,$A21))</f>
        <v/>
      </c>
    </row>
    <row r="22">
      <c r="A22" s="4">
        <f>IF($B22="","","ETA-"&amp;TEXT(ROW()-1,"0000"))</f>
        <v/>
      </c>
      <c r="B22" s="4" t="n"/>
      <c r="C22" s="4" t="n"/>
      <c r="D22" s="4" t="n"/>
      <c r="E22" s="4">
        <f>IF($B22="","",Base_Dados!$B$2)</f>
        <v/>
      </c>
      <c r="F22" s="6">
        <f>IF($B22="","",SUMIFS(Subetapas!$F:$F,Subetapas!$E:$E,$A22))</f>
        <v/>
      </c>
    </row>
    <row r="23">
      <c r="A23" s="4">
        <f>IF($B23="","","ETA-"&amp;TEXT(ROW()-1,"0000"))</f>
        <v/>
      </c>
      <c r="B23" s="4" t="n"/>
      <c r="C23" s="4" t="n"/>
      <c r="D23" s="4" t="n"/>
      <c r="E23" s="4">
        <f>IF($B23="","",Base_Dados!$B$2)</f>
        <v/>
      </c>
      <c r="F23" s="6">
        <f>IF($B23="","",SUMIFS(Subetapas!$F:$F,Subetapas!$E:$E,$A23))</f>
        <v/>
      </c>
    </row>
    <row r="24">
      <c r="A24" s="4">
        <f>IF($B24="","","ETA-"&amp;TEXT(ROW()-1,"0000"))</f>
        <v/>
      </c>
      <c r="B24" s="4" t="n"/>
      <c r="C24" s="4" t="n"/>
      <c r="D24" s="4" t="n"/>
      <c r="E24" s="4">
        <f>IF($B24="","",Base_Dados!$B$2)</f>
        <v/>
      </c>
      <c r="F24" s="6">
        <f>IF($B24="","",SUMIFS(Subetapas!$F:$F,Subetapas!$E:$E,$A24))</f>
        <v/>
      </c>
    </row>
    <row r="25">
      <c r="A25" s="4">
        <f>IF($B25="","","ETA-"&amp;TEXT(ROW()-1,"0000"))</f>
        <v/>
      </c>
      <c r="B25" s="4" t="n"/>
      <c r="C25" s="4" t="n"/>
      <c r="D25" s="4" t="n"/>
      <c r="E25" s="4">
        <f>IF($B25="","",Base_Dados!$B$2)</f>
        <v/>
      </c>
      <c r="F25" s="6">
        <f>IF($B25="","",SUMIFS(Subetapas!$F:$F,Subetapas!$E:$E,$A25))</f>
        <v/>
      </c>
    </row>
    <row r="26">
      <c r="A26" s="4">
        <f>IF($B26="","","ETA-"&amp;TEXT(ROW()-1,"0000"))</f>
        <v/>
      </c>
      <c r="B26" s="4" t="n"/>
      <c r="C26" s="4" t="n"/>
      <c r="D26" s="4" t="n"/>
      <c r="E26" s="4">
        <f>IF($B26="","",Base_Dados!$B$2)</f>
        <v/>
      </c>
      <c r="F26" s="6">
        <f>IF($B26="","",SUMIFS(Subetapas!$F:$F,Subetapas!$E:$E,$A26))</f>
        <v/>
      </c>
    </row>
    <row r="27">
      <c r="A27" s="4">
        <f>IF($B27="","","ETA-"&amp;TEXT(ROW()-1,"0000"))</f>
        <v/>
      </c>
      <c r="B27" s="4" t="n"/>
      <c r="C27" s="4" t="n"/>
      <c r="D27" s="4" t="n"/>
      <c r="E27" s="4">
        <f>IF($B27="","",Base_Dados!$B$2)</f>
        <v/>
      </c>
      <c r="F27" s="6">
        <f>IF($B27="","",SUMIFS(Subetapas!$F:$F,Subetapas!$E:$E,$A27))</f>
        <v/>
      </c>
    </row>
    <row r="28">
      <c r="A28" s="4">
        <f>IF($B28="","","ETA-"&amp;TEXT(ROW()-1,"0000"))</f>
        <v/>
      </c>
      <c r="B28" s="4" t="n"/>
      <c r="C28" s="4" t="n"/>
      <c r="D28" s="4" t="n"/>
      <c r="E28" s="4">
        <f>IF($B28="","",Base_Dados!$B$2)</f>
        <v/>
      </c>
      <c r="F28" s="6">
        <f>IF($B28="","",SUMIFS(Subetapas!$F:$F,Subetapas!$E:$E,$A28))</f>
        <v/>
      </c>
    </row>
    <row r="29">
      <c r="A29" s="4">
        <f>IF($B29="","","ETA-"&amp;TEXT(ROW()-1,"0000"))</f>
        <v/>
      </c>
      <c r="B29" s="4" t="n"/>
      <c r="C29" s="4" t="n"/>
      <c r="D29" s="4" t="n"/>
      <c r="E29" s="4">
        <f>IF($B29="","",Base_Dados!$B$2)</f>
        <v/>
      </c>
      <c r="F29" s="6">
        <f>IF($B29="","",SUMIFS(Subetapas!$F:$F,Subetapas!$E:$E,$A29))</f>
        <v/>
      </c>
    </row>
    <row r="30">
      <c r="A30" s="4">
        <f>IF($B30="","","ETA-"&amp;TEXT(ROW()-1,"0000"))</f>
        <v/>
      </c>
      <c r="B30" s="4" t="n"/>
      <c r="C30" s="4" t="n"/>
      <c r="D30" s="4" t="n"/>
      <c r="E30" s="4">
        <f>IF($B30="","",Base_Dados!$B$2)</f>
        <v/>
      </c>
      <c r="F30" s="6">
        <f>IF($B30="","",SUMIFS(Subetapas!$F:$F,Subetapas!$E:$E,$A30))</f>
        <v/>
      </c>
    </row>
    <row r="31">
      <c r="A31" s="4">
        <f>IF($B31="","","ETA-"&amp;TEXT(ROW()-1,"0000"))</f>
        <v/>
      </c>
      <c r="B31" s="4" t="n"/>
      <c r="C31" s="4" t="n"/>
      <c r="D31" s="4" t="n"/>
      <c r="E31" s="4">
        <f>IF($B31="","",Base_Dados!$B$2)</f>
        <v/>
      </c>
      <c r="F31" s="6">
        <f>IF($B31="","",SUMIFS(Subetapas!$F:$F,Subetapas!$E:$E,$A31))</f>
        <v/>
      </c>
    </row>
  </sheetData>
  <autoFilter ref="A1:F31"/>
  <dataValidations count="1">
    <dataValidation sqref="C2:C31" showDropDown="0" showInputMessage="0" showErrorMessage="1" allowBlank="1" errorTitle="Ordem inválida" error="Informe um número inteiro maior que zero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0" customWidth="1" min="2" max="2"/>
    <col width="26" customWidth="1" min="3" max="3"/>
    <col width="20" customWidth="1" min="4" max="4"/>
    <col hidden="1" width="16" customWidth="1" min="5" max="5"/>
    <col width="22" customWidth="1" min="6" max="6"/>
  </cols>
  <sheetData>
    <row r="1" ht="30" customHeight="1">
      <c r="A1" s="7" t="inlineStr">
        <is>
          <t>ID (técnico)</t>
        </is>
      </c>
      <c r="B1" s="7" t="inlineStr">
        <is>
          <t>Nome</t>
        </is>
      </c>
      <c r="C1" s="7" t="inlineStr">
        <is>
          <t>Etapa</t>
        </is>
      </c>
      <c r="D1" s="7" t="inlineStr">
        <is>
          <t>Status</t>
        </is>
      </c>
      <c r="E1" s="7" t="inlineStr">
        <is>
          <t>ID_Etapa (técnico)</t>
        </is>
      </c>
      <c r="F1" s="7" t="inlineStr">
        <is>
          <t>Total Previsto (Serviços)</t>
        </is>
      </c>
    </row>
    <row r="2">
      <c r="A2" s="4">
        <f>IF($B2="","","SUB-"&amp;TEXT(ROW()-1,"0000"))</f>
        <v/>
      </c>
      <c r="B2" s="4" t="n"/>
      <c r="C2" s="4" t="n"/>
      <c r="D2" s="4" t="n"/>
      <c r="E2" s="4">
        <f>IF($C2="","",INDEX(Etapas!$A:$A,MATCH($C2,Etapas!$B:$B,0)))</f>
        <v/>
      </c>
      <c r="F2" s="6">
        <f>IF($B2="","",SUMIFS(Serviços!$J:$J,Serviços!$M:$M,$A2,Serviços!$L:$L,"&lt;&gt;Cancelado",Serviços!$L:$L,"&lt;&gt;Retirado do Escopo",Serviços!$L:$L,"&lt;&gt;Substituído"))</f>
        <v/>
      </c>
    </row>
    <row r="3">
      <c r="A3" s="4">
        <f>IF($B3="","","SUB-"&amp;TEXT(ROW()-1,"0000"))</f>
        <v/>
      </c>
      <c r="B3" s="4" t="n"/>
      <c r="C3" s="4" t="n"/>
      <c r="D3" s="4" t="n"/>
      <c r="E3" s="4">
        <f>IF($C3="","",INDEX(Etapas!$A:$A,MATCH($C3,Etapas!$B:$B,0)))</f>
        <v/>
      </c>
      <c r="F3" s="6">
        <f>IF($B3="","",SUMIFS(Serviços!$J:$J,Serviços!$M:$M,$A3,Serviços!$L:$L,"&lt;&gt;Cancelado",Serviços!$L:$L,"&lt;&gt;Retirado do Escopo",Serviços!$L:$L,"&lt;&gt;Substituído"))</f>
        <v/>
      </c>
    </row>
    <row r="4">
      <c r="A4" s="4">
        <f>IF($B4="","","SUB-"&amp;TEXT(ROW()-1,"0000"))</f>
        <v/>
      </c>
      <c r="B4" s="4" t="n"/>
      <c r="C4" s="4" t="n"/>
      <c r="D4" s="4" t="n"/>
      <c r="E4" s="4">
        <f>IF($C4="","",INDEX(Etapas!$A:$A,MATCH($C4,Etapas!$B:$B,0)))</f>
        <v/>
      </c>
      <c r="F4" s="6">
        <f>IF($B4="","",SUMIFS(Serviços!$J:$J,Serviços!$M:$M,$A4,Serviços!$L:$L,"&lt;&gt;Cancelado",Serviços!$L:$L,"&lt;&gt;Retirado do Escopo",Serviços!$L:$L,"&lt;&gt;Substituído"))</f>
        <v/>
      </c>
    </row>
    <row r="5">
      <c r="A5" s="4">
        <f>IF($B5="","","SUB-"&amp;TEXT(ROW()-1,"0000"))</f>
        <v/>
      </c>
      <c r="B5" s="4" t="n"/>
      <c r="C5" s="4" t="n"/>
      <c r="D5" s="4" t="n"/>
      <c r="E5" s="4">
        <f>IF($C5="","",INDEX(Etapas!$A:$A,MATCH($C5,Etapas!$B:$B,0)))</f>
        <v/>
      </c>
      <c r="F5" s="6">
        <f>IF($B5="","",SUMIFS(Serviços!$J:$J,Serviços!$M:$M,$A5,Serviços!$L:$L,"&lt;&gt;Cancelado",Serviços!$L:$L,"&lt;&gt;Retirado do Escopo",Serviços!$L:$L,"&lt;&gt;Substituído"))</f>
        <v/>
      </c>
    </row>
    <row r="6">
      <c r="A6" s="4">
        <f>IF($B6="","","SUB-"&amp;TEXT(ROW()-1,"0000"))</f>
        <v/>
      </c>
      <c r="B6" s="4" t="n"/>
      <c r="C6" s="4" t="n"/>
      <c r="D6" s="4" t="n"/>
      <c r="E6" s="4">
        <f>IF($C6="","",INDEX(Etapas!$A:$A,MATCH($C6,Etapas!$B:$B,0)))</f>
        <v/>
      </c>
      <c r="F6" s="6">
        <f>IF($B6="","",SUMIFS(Serviços!$J:$J,Serviços!$M:$M,$A6,Serviços!$L:$L,"&lt;&gt;Cancelado",Serviços!$L:$L,"&lt;&gt;Retirado do Escopo",Serviços!$L:$L,"&lt;&gt;Substituído"))</f>
        <v/>
      </c>
    </row>
    <row r="7">
      <c r="A7" s="4">
        <f>IF($B7="","","SUB-"&amp;TEXT(ROW()-1,"0000"))</f>
        <v/>
      </c>
      <c r="B7" s="4" t="n"/>
      <c r="C7" s="4" t="n"/>
      <c r="D7" s="4" t="n"/>
      <c r="E7" s="4">
        <f>IF($C7="","",INDEX(Etapas!$A:$A,MATCH($C7,Etapas!$B:$B,0)))</f>
        <v/>
      </c>
      <c r="F7" s="6">
        <f>IF($B7="","",SUMIFS(Serviços!$J:$J,Serviços!$M:$M,$A7,Serviços!$L:$L,"&lt;&gt;Cancelado",Serviços!$L:$L,"&lt;&gt;Retirado do Escopo",Serviços!$L:$L,"&lt;&gt;Substituído"))</f>
        <v/>
      </c>
    </row>
    <row r="8">
      <c r="A8" s="4">
        <f>IF($B8="","","SUB-"&amp;TEXT(ROW()-1,"0000"))</f>
        <v/>
      </c>
      <c r="B8" s="4" t="n"/>
      <c r="C8" s="4" t="n"/>
      <c r="D8" s="4" t="n"/>
      <c r="E8" s="4">
        <f>IF($C8="","",INDEX(Etapas!$A:$A,MATCH($C8,Etapas!$B:$B,0)))</f>
        <v/>
      </c>
      <c r="F8" s="6">
        <f>IF($B8="","",SUMIFS(Serviços!$J:$J,Serviços!$M:$M,$A8,Serviços!$L:$L,"&lt;&gt;Cancelado",Serviços!$L:$L,"&lt;&gt;Retirado do Escopo",Serviços!$L:$L,"&lt;&gt;Substituído"))</f>
        <v/>
      </c>
    </row>
    <row r="9">
      <c r="A9" s="4">
        <f>IF($B9="","","SUB-"&amp;TEXT(ROW()-1,"0000"))</f>
        <v/>
      </c>
      <c r="B9" s="4" t="n"/>
      <c r="C9" s="4" t="n"/>
      <c r="D9" s="4" t="n"/>
      <c r="E9" s="4">
        <f>IF($C9="","",INDEX(Etapas!$A:$A,MATCH($C9,Etapas!$B:$B,0)))</f>
        <v/>
      </c>
      <c r="F9" s="6">
        <f>IF($B9="","",SUMIFS(Serviços!$J:$J,Serviços!$M:$M,$A9,Serviços!$L:$L,"&lt;&gt;Cancelado",Serviços!$L:$L,"&lt;&gt;Retirado do Escopo",Serviços!$L:$L,"&lt;&gt;Substituído"))</f>
        <v/>
      </c>
    </row>
    <row r="10">
      <c r="A10" s="4">
        <f>IF($B10="","","SUB-"&amp;TEXT(ROW()-1,"0000"))</f>
        <v/>
      </c>
      <c r="B10" s="4" t="n"/>
      <c r="C10" s="4" t="n"/>
      <c r="D10" s="4" t="n"/>
      <c r="E10" s="4">
        <f>IF($C10="","",INDEX(Etapas!$A:$A,MATCH($C10,Etapas!$B:$B,0)))</f>
        <v/>
      </c>
      <c r="F10" s="6">
        <f>IF($B10="","",SUMIFS(Serviços!$J:$J,Serviços!$M:$M,$A10,Serviços!$L:$L,"&lt;&gt;Cancelado",Serviços!$L:$L,"&lt;&gt;Retirado do Escopo",Serviços!$L:$L,"&lt;&gt;Substituído"))</f>
        <v/>
      </c>
    </row>
    <row r="11">
      <c r="A11" s="4">
        <f>IF($B11="","","SUB-"&amp;TEXT(ROW()-1,"0000"))</f>
        <v/>
      </c>
      <c r="B11" s="4" t="n"/>
      <c r="C11" s="4" t="n"/>
      <c r="D11" s="4" t="n"/>
      <c r="E11" s="4">
        <f>IF($C11="","",INDEX(Etapas!$A:$A,MATCH($C11,Etapas!$B:$B,0)))</f>
        <v/>
      </c>
      <c r="F11" s="6">
        <f>IF($B11="","",SUMIFS(Serviços!$J:$J,Serviços!$M:$M,$A11,Serviços!$L:$L,"&lt;&gt;Cancelado",Serviços!$L:$L,"&lt;&gt;Retirado do Escopo",Serviços!$L:$L,"&lt;&gt;Substituído"))</f>
        <v/>
      </c>
    </row>
    <row r="12">
      <c r="A12" s="4">
        <f>IF($B12="","","SUB-"&amp;TEXT(ROW()-1,"0000"))</f>
        <v/>
      </c>
      <c r="B12" s="4" t="n"/>
      <c r="C12" s="4" t="n"/>
      <c r="D12" s="4" t="n"/>
      <c r="E12" s="4">
        <f>IF($C12="","",INDEX(Etapas!$A:$A,MATCH($C12,Etapas!$B:$B,0)))</f>
        <v/>
      </c>
      <c r="F12" s="6">
        <f>IF($B12="","",SUMIFS(Serviços!$J:$J,Serviços!$M:$M,$A12,Serviços!$L:$L,"&lt;&gt;Cancelado",Serviços!$L:$L,"&lt;&gt;Retirado do Escopo",Serviços!$L:$L,"&lt;&gt;Substituído"))</f>
        <v/>
      </c>
    </row>
    <row r="13">
      <c r="A13" s="4">
        <f>IF($B13="","","SUB-"&amp;TEXT(ROW()-1,"0000"))</f>
        <v/>
      </c>
      <c r="B13" s="4" t="n"/>
      <c r="C13" s="4" t="n"/>
      <c r="D13" s="4" t="n"/>
      <c r="E13" s="4">
        <f>IF($C13="","",INDEX(Etapas!$A:$A,MATCH($C13,Etapas!$B:$B,0)))</f>
        <v/>
      </c>
      <c r="F13" s="6">
        <f>IF($B13="","",SUMIFS(Serviços!$J:$J,Serviços!$M:$M,$A13,Serviços!$L:$L,"&lt;&gt;Cancelado",Serviços!$L:$L,"&lt;&gt;Retirado do Escopo",Serviços!$L:$L,"&lt;&gt;Substituído"))</f>
        <v/>
      </c>
    </row>
    <row r="14">
      <c r="A14" s="4">
        <f>IF($B14="","","SUB-"&amp;TEXT(ROW()-1,"0000"))</f>
        <v/>
      </c>
      <c r="B14" s="4" t="n"/>
      <c r="C14" s="4" t="n"/>
      <c r="D14" s="4" t="n"/>
      <c r="E14" s="4">
        <f>IF($C14="","",INDEX(Etapas!$A:$A,MATCH($C14,Etapas!$B:$B,0)))</f>
        <v/>
      </c>
      <c r="F14" s="6">
        <f>IF($B14="","",SUMIFS(Serviços!$J:$J,Serviços!$M:$M,$A14,Serviços!$L:$L,"&lt;&gt;Cancelado",Serviços!$L:$L,"&lt;&gt;Retirado do Escopo",Serviços!$L:$L,"&lt;&gt;Substituído"))</f>
        <v/>
      </c>
    </row>
    <row r="15">
      <c r="A15" s="4">
        <f>IF($B15="","","SUB-"&amp;TEXT(ROW()-1,"0000"))</f>
        <v/>
      </c>
      <c r="B15" s="4" t="n"/>
      <c r="C15" s="4" t="n"/>
      <c r="D15" s="4" t="n"/>
      <c r="E15" s="4">
        <f>IF($C15="","",INDEX(Etapas!$A:$A,MATCH($C15,Etapas!$B:$B,0)))</f>
        <v/>
      </c>
      <c r="F15" s="6">
        <f>IF($B15="","",SUMIFS(Serviços!$J:$J,Serviços!$M:$M,$A15,Serviços!$L:$L,"&lt;&gt;Cancelado",Serviços!$L:$L,"&lt;&gt;Retirado do Escopo",Serviços!$L:$L,"&lt;&gt;Substituído"))</f>
        <v/>
      </c>
    </row>
    <row r="16">
      <c r="A16" s="4">
        <f>IF($B16="","","SUB-"&amp;TEXT(ROW()-1,"0000"))</f>
        <v/>
      </c>
      <c r="B16" s="4" t="n"/>
      <c r="C16" s="4" t="n"/>
      <c r="D16" s="4" t="n"/>
      <c r="E16" s="4">
        <f>IF($C16="","",INDEX(Etapas!$A:$A,MATCH($C16,Etapas!$B:$B,0)))</f>
        <v/>
      </c>
      <c r="F16" s="6">
        <f>IF($B16="","",SUMIFS(Serviços!$J:$J,Serviços!$M:$M,$A16,Serviços!$L:$L,"&lt;&gt;Cancelado",Serviços!$L:$L,"&lt;&gt;Retirado do Escopo",Serviços!$L:$L,"&lt;&gt;Substituído"))</f>
        <v/>
      </c>
    </row>
    <row r="17">
      <c r="A17" s="4">
        <f>IF($B17="","","SUB-"&amp;TEXT(ROW()-1,"0000"))</f>
        <v/>
      </c>
      <c r="B17" s="4" t="n"/>
      <c r="C17" s="4" t="n"/>
      <c r="D17" s="4" t="n"/>
      <c r="E17" s="4">
        <f>IF($C17="","",INDEX(Etapas!$A:$A,MATCH($C17,Etapas!$B:$B,0)))</f>
        <v/>
      </c>
      <c r="F17" s="6">
        <f>IF($B17="","",SUMIFS(Serviços!$J:$J,Serviços!$M:$M,$A17,Serviços!$L:$L,"&lt;&gt;Cancelado",Serviços!$L:$L,"&lt;&gt;Retirado do Escopo",Serviços!$L:$L,"&lt;&gt;Substituído"))</f>
        <v/>
      </c>
    </row>
    <row r="18">
      <c r="A18" s="4">
        <f>IF($B18="","","SUB-"&amp;TEXT(ROW()-1,"0000"))</f>
        <v/>
      </c>
      <c r="B18" s="4" t="n"/>
      <c r="C18" s="4" t="n"/>
      <c r="D18" s="4" t="n"/>
      <c r="E18" s="4">
        <f>IF($C18="","",INDEX(Etapas!$A:$A,MATCH($C18,Etapas!$B:$B,0)))</f>
        <v/>
      </c>
      <c r="F18" s="6">
        <f>IF($B18="","",SUMIFS(Serviços!$J:$J,Serviços!$M:$M,$A18,Serviços!$L:$L,"&lt;&gt;Cancelado",Serviços!$L:$L,"&lt;&gt;Retirado do Escopo",Serviços!$L:$L,"&lt;&gt;Substituído"))</f>
        <v/>
      </c>
    </row>
    <row r="19">
      <c r="A19" s="4">
        <f>IF($B19="","","SUB-"&amp;TEXT(ROW()-1,"0000"))</f>
        <v/>
      </c>
      <c r="B19" s="4" t="n"/>
      <c r="C19" s="4" t="n"/>
      <c r="D19" s="4" t="n"/>
      <c r="E19" s="4">
        <f>IF($C19="","",INDEX(Etapas!$A:$A,MATCH($C19,Etapas!$B:$B,0)))</f>
        <v/>
      </c>
      <c r="F19" s="6">
        <f>IF($B19="","",SUMIFS(Serviços!$J:$J,Serviços!$M:$M,$A19,Serviços!$L:$L,"&lt;&gt;Cancelado",Serviços!$L:$L,"&lt;&gt;Retirado do Escopo",Serviços!$L:$L,"&lt;&gt;Substituído"))</f>
        <v/>
      </c>
    </row>
    <row r="20">
      <c r="A20" s="4">
        <f>IF($B20="","","SUB-"&amp;TEXT(ROW()-1,"0000"))</f>
        <v/>
      </c>
      <c r="B20" s="4" t="n"/>
      <c r="C20" s="4" t="n"/>
      <c r="D20" s="4" t="n"/>
      <c r="E20" s="4">
        <f>IF($C20="","",INDEX(Etapas!$A:$A,MATCH($C20,Etapas!$B:$B,0)))</f>
        <v/>
      </c>
      <c r="F20" s="6">
        <f>IF($B20="","",SUMIFS(Serviços!$J:$J,Serviços!$M:$M,$A20,Serviços!$L:$L,"&lt;&gt;Cancelado",Serviços!$L:$L,"&lt;&gt;Retirado do Escopo",Serviços!$L:$L,"&lt;&gt;Substituído"))</f>
        <v/>
      </c>
    </row>
    <row r="21">
      <c r="A21" s="4">
        <f>IF($B21="","","SUB-"&amp;TEXT(ROW()-1,"0000"))</f>
        <v/>
      </c>
      <c r="B21" s="4" t="n"/>
      <c r="C21" s="4" t="n"/>
      <c r="D21" s="4" t="n"/>
      <c r="E21" s="4">
        <f>IF($C21="","",INDEX(Etapas!$A:$A,MATCH($C21,Etapas!$B:$B,0)))</f>
        <v/>
      </c>
      <c r="F21" s="6">
        <f>IF($B21="","",SUMIFS(Serviços!$J:$J,Serviços!$M:$M,$A21,Serviços!$L:$L,"&lt;&gt;Cancelado",Serviços!$L:$L,"&lt;&gt;Retirado do Escopo",Serviços!$L:$L,"&lt;&gt;Substituído"))</f>
        <v/>
      </c>
    </row>
    <row r="22">
      <c r="A22" s="4">
        <f>IF($B22="","","SUB-"&amp;TEXT(ROW()-1,"0000"))</f>
        <v/>
      </c>
      <c r="B22" s="4" t="n"/>
      <c r="C22" s="4" t="n"/>
      <c r="D22" s="4" t="n"/>
      <c r="E22" s="4">
        <f>IF($C22="","",INDEX(Etapas!$A:$A,MATCH($C22,Etapas!$B:$B,0)))</f>
        <v/>
      </c>
      <c r="F22" s="6">
        <f>IF($B22="","",SUMIFS(Serviços!$J:$J,Serviços!$M:$M,$A22,Serviços!$L:$L,"&lt;&gt;Cancelado",Serviços!$L:$L,"&lt;&gt;Retirado do Escopo",Serviços!$L:$L,"&lt;&gt;Substituído"))</f>
        <v/>
      </c>
    </row>
    <row r="23">
      <c r="A23" s="4">
        <f>IF($B23="","","SUB-"&amp;TEXT(ROW()-1,"0000"))</f>
        <v/>
      </c>
      <c r="B23" s="4" t="n"/>
      <c r="C23" s="4" t="n"/>
      <c r="D23" s="4" t="n"/>
      <c r="E23" s="4">
        <f>IF($C23="","",INDEX(Etapas!$A:$A,MATCH($C23,Etapas!$B:$B,0)))</f>
        <v/>
      </c>
      <c r="F23" s="6">
        <f>IF($B23="","",SUMIFS(Serviços!$J:$J,Serviços!$M:$M,$A23,Serviços!$L:$L,"&lt;&gt;Cancelado",Serviços!$L:$L,"&lt;&gt;Retirado do Escopo",Serviços!$L:$L,"&lt;&gt;Substituído"))</f>
        <v/>
      </c>
    </row>
    <row r="24">
      <c r="A24" s="4">
        <f>IF($B24="","","SUB-"&amp;TEXT(ROW()-1,"0000"))</f>
        <v/>
      </c>
      <c r="B24" s="4" t="n"/>
      <c r="C24" s="4" t="n"/>
      <c r="D24" s="4" t="n"/>
      <c r="E24" s="4">
        <f>IF($C24="","",INDEX(Etapas!$A:$A,MATCH($C24,Etapas!$B:$B,0)))</f>
        <v/>
      </c>
      <c r="F24" s="6">
        <f>IF($B24="","",SUMIFS(Serviços!$J:$J,Serviços!$M:$M,$A24,Serviços!$L:$L,"&lt;&gt;Cancelado",Serviços!$L:$L,"&lt;&gt;Retirado do Escopo",Serviços!$L:$L,"&lt;&gt;Substituído"))</f>
        <v/>
      </c>
    </row>
    <row r="25">
      <c r="A25" s="4">
        <f>IF($B25="","","SUB-"&amp;TEXT(ROW()-1,"0000"))</f>
        <v/>
      </c>
      <c r="B25" s="4" t="n"/>
      <c r="C25" s="4" t="n"/>
      <c r="D25" s="4" t="n"/>
      <c r="E25" s="4">
        <f>IF($C25="","",INDEX(Etapas!$A:$A,MATCH($C25,Etapas!$B:$B,0)))</f>
        <v/>
      </c>
      <c r="F25" s="6">
        <f>IF($B25="","",SUMIFS(Serviços!$J:$J,Serviços!$M:$M,$A25,Serviços!$L:$L,"&lt;&gt;Cancelado",Serviços!$L:$L,"&lt;&gt;Retirado do Escopo",Serviços!$L:$L,"&lt;&gt;Substituído"))</f>
        <v/>
      </c>
    </row>
    <row r="26">
      <c r="A26" s="4">
        <f>IF($B26="","","SUB-"&amp;TEXT(ROW()-1,"0000"))</f>
        <v/>
      </c>
      <c r="B26" s="4" t="n"/>
      <c r="C26" s="4" t="n"/>
      <c r="D26" s="4" t="n"/>
      <c r="E26" s="4">
        <f>IF($C26="","",INDEX(Etapas!$A:$A,MATCH($C26,Etapas!$B:$B,0)))</f>
        <v/>
      </c>
      <c r="F26" s="6">
        <f>IF($B26="","",SUMIFS(Serviços!$J:$J,Serviços!$M:$M,$A26,Serviços!$L:$L,"&lt;&gt;Cancelado",Serviços!$L:$L,"&lt;&gt;Retirado do Escopo",Serviços!$L:$L,"&lt;&gt;Substituído"))</f>
        <v/>
      </c>
    </row>
    <row r="27">
      <c r="A27" s="4">
        <f>IF($B27="","","SUB-"&amp;TEXT(ROW()-1,"0000"))</f>
        <v/>
      </c>
      <c r="B27" s="4" t="n"/>
      <c r="C27" s="4" t="n"/>
      <c r="D27" s="4" t="n"/>
      <c r="E27" s="4">
        <f>IF($C27="","",INDEX(Etapas!$A:$A,MATCH($C27,Etapas!$B:$B,0)))</f>
        <v/>
      </c>
      <c r="F27" s="6">
        <f>IF($B27="","",SUMIFS(Serviços!$J:$J,Serviços!$M:$M,$A27,Serviços!$L:$L,"&lt;&gt;Cancelado",Serviços!$L:$L,"&lt;&gt;Retirado do Escopo",Serviços!$L:$L,"&lt;&gt;Substituído"))</f>
        <v/>
      </c>
    </row>
    <row r="28">
      <c r="A28" s="4">
        <f>IF($B28="","","SUB-"&amp;TEXT(ROW()-1,"0000"))</f>
        <v/>
      </c>
      <c r="B28" s="4" t="n"/>
      <c r="C28" s="4" t="n"/>
      <c r="D28" s="4" t="n"/>
      <c r="E28" s="4">
        <f>IF($C28="","",INDEX(Etapas!$A:$A,MATCH($C28,Etapas!$B:$B,0)))</f>
        <v/>
      </c>
      <c r="F28" s="6">
        <f>IF($B28="","",SUMIFS(Serviços!$J:$J,Serviços!$M:$M,$A28,Serviços!$L:$L,"&lt;&gt;Cancelado",Serviços!$L:$L,"&lt;&gt;Retirado do Escopo",Serviços!$L:$L,"&lt;&gt;Substituído"))</f>
        <v/>
      </c>
    </row>
    <row r="29">
      <c r="A29" s="4">
        <f>IF($B29="","","SUB-"&amp;TEXT(ROW()-1,"0000"))</f>
        <v/>
      </c>
      <c r="B29" s="4" t="n"/>
      <c r="C29" s="4" t="n"/>
      <c r="D29" s="4" t="n"/>
      <c r="E29" s="4">
        <f>IF($C29="","",INDEX(Etapas!$A:$A,MATCH($C29,Etapas!$B:$B,0)))</f>
        <v/>
      </c>
      <c r="F29" s="6">
        <f>IF($B29="","",SUMIFS(Serviços!$J:$J,Serviços!$M:$M,$A29,Serviços!$L:$L,"&lt;&gt;Cancelado",Serviços!$L:$L,"&lt;&gt;Retirado do Escopo",Serviços!$L:$L,"&lt;&gt;Substituído"))</f>
        <v/>
      </c>
    </row>
    <row r="30">
      <c r="A30" s="4">
        <f>IF($B30="","","SUB-"&amp;TEXT(ROW()-1,"0000"))</f>
        <v/>
      </c>
      <c r="B30" s="4" t="n"/>
      <c r="C30" s="4" t="n"/>
      <c r="D30" s="4" t="n"/>
      <c r="E30" s="4">
        <f>IF($C30="","",INDEX(Etapas!$A:$A,MATCH($C30,Etapas!$B:$B,0)))</f>
        <v/>
      </c>
      <c r="F30" s="6">
        <f>IF($B30="","",SUMIFS(Serviços!$J:$J,Serviços!$M:$M,$A30,Serviços!$L:$L,"&lt;&gt;Cancelado",Serviços!$L:$L,"&lt;&gt;Retirado do Escopo",Serviços!$L:$L,"&lt;&gt;Substituído"))</f>
        <v/>
      </c>
    </row>
    <row r="31">
      <c r="A31" s="4">
        <f>IF($B31="","","SUB-"&amp;TEXT(ROW()-1,"0000"))</f>
        <v/>
      </c>
      <c r="B31" s="4" t="n"/>
      <c r="C31" s="4" t="n"/>
      <c r="D31" s="4" t="n"/>
      <c r="E31" s="4">
        <f>IF($C31="","",INDEX(Etapas!$A:$A,MATCH($C31,Etapas!$B:$B,0)))</f>
        <v/>
      </c>
      <c r="F31" s="6">
        <f>IF($B31="","",SUMIFS(Serviços!$J:$J,Serviços!$M:$M,$A31,Serviços!$L:$L,"&lt;&gt;Cancelado",Serviços!$L:$L,"&lt;&gt;Retirado do Escopo",Serviços!$L:$L,"&lt;&gt;Substituído"))</f>
        <v/>
      </c>
    </row>
  </sheetData>
  <autoFilter ref="A1:F31"/>
  <dataValidations count="1">
    <dataValidation sqref="C2:C31" showDropDown="0" showInputMessage="0" showErrorMessage="1" allowBlank="1" errorTitle="Etapa inválida" error="Selecione uma Etapa já cadastrada na aba Etapas." type="list">
      <formula1>Lista_Etapas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26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0" customWidth="1" min="12" max="12"/>
    <col hidden="1" width="18" customWidth="1" min="13" max="13"/>
  </cols>
  <sheetData>
    <row r="1" ht="30" customHeight="1">
      <c r="A1" s="7" t="inlineStr">
        <is>
          <t>ID (técnico)</t>
        </is>
      </c>
      <c r="B1" s="7" t="inlineStr">
        <is>
          <t>Descrição</t>
        </is>
      </c>
      <c r="C1" s="7" t="inlineStr">
        <is>
          <t>Subetapa</t>
        </is>
      </c>
      <c r="D1" s="7" t="inlineStr">
        <is>
          <t>Unidade de Medida</t>
        </is>
      </c>
      <c r="E1" s="7" t="inlineStr">
        <is>
          <t>Quantidade Orçada</t>
        </is>
      </c>
      <c r="F1" s="7" t="inlineStr">
        <is>
          <t>Valor Unitário</t>
        </is>
      </c>
      <c r="G1" s="7" t="inlineStr">
        <is>
          <t>Valor Calculado</t>
        </is>
      </c>
      <c r="H1" s="7" t="inlineStr">
        <is>
          <t>Valor Previsto (Ajuste Manual)</t>
        </is>
      </c>
      <c r="I1" s="7" t="inlineStr">
        <is>
          <t>Ajuste Manual</t>
        </is>
      </c>
      <c r="J1" s="7" t="inlineStr">
        <is>
          <t>Valor Previsto</t>
        </is>
      </c>
      <c r="K1" s="7" t="inlineStr">
        <is>
          <t>Variação</t>
        </is>
      </c>
      <c r="L1" s="7" t="inlineStr">
        <is>
          <t>Status</t>
        </is>
      </c>
      <c r="M1" s="7" t="inlineStr">
        <is>
          <t>ID_Subetapa (técnico)</t>
        </is>
      </c>
    </row>
    <row r="2">
      <c r="A2" s="4">
        <f>IF($B2="","","SRV-"&amp;TEXT(ROW()-1,"0000"))</f>
        <v/>
      </c>
      <c r="B2" s="4" t="n"/>
      <c r="C2" s="4" t="n"/>
      <c r="D2" s="4" t="n"/>
      <c r="E2" s="8" t="n"/>
      <c r="F2" s="8" t="n"/>
      <c r="G2" s="6">
        <f>IF(OR($E2="",$F2=""),"",$E2*$F2)</f>
        <v/>
      </c>
      <c r="H2" s="8" t="n"/>
      <c r="I2" s="9">
        <f>IF($H2="","NÃO","SIM")</f>
        <v/>
      </c>
      <c r="J2" s="6">
        <f>IF($H2="",$G2,$H2)</f>
        <v/>
      </c>
      <c r="K2" s="6">
        <f>IF(OR($J2="",$G2=""),"",$J2-$G2)</f>
        <v/>
      </c>
      <c r="L2" s="4" t="n"/>
      <c r="M2" s="4">
        <f>IF($C2="","",INDEX(Subetapas!$A:$A,MATCH($C2,Subetapas!$B:$B,0)))</f>
        <v/>
      </c>
    </row>
    <row r="3">
      <c r="A3" s="4">
        <f>IF($B3="","","SRV-"&amp;TEXT(ROW()-1,"0000"))</f>
        <v/>
      </c>
      <c r="B3" s="4" t="n"/>
      <c r="C3" s="4" t="n"/>
      <c r="D3" s="4" t="n"/>
      <c r="E3" s="8" t="n"/>
      <c r="F3" s="8" t="n"/>
      <c r="G3" s="6">
        <f>IF(OR($E3="",$F3=""),"",$E3*$F3)</f>
        <v/>
      </c>
      <c r="H3" s="8" t="n"/>
      <c r="I3" s="9">
        <f>IF($H3="","NÃO","SIM")</f>
        <v/>
      </c>
      <c r="J3" s="6">
        <f>IF($H3="",$G3,$H3)</f>
        <v/>
      </c>
      <c r="K3" s="6">
        <f>IF(OR($J3="",$G3=""),"",$J3-$G3)</f>
        <v/>
      </c>
      <c r="L3" s="4" t="n"/>
      <c r="M3" s="4">
        <f>IF($C3="","",INDEX(Subetapas!$A:$A,MATCH($C3,Subetapas!$B:$B,0)))</f>
        <v/>
      </c>
    </row>
    <row r="4">
      <c r="A4" s="4">
        <f>IF($B4="","","SRV-"&amp;TEXT(ROW()-1,"0000"))</f>
        <v/>
      </c>
      <c r="B4" s="4" t="n"/>
      <c r="C4" s="4" t="n"/>
      <c r="D4" s="4" t="n"/>
      <c r="E4" s="8" t="n"/>
      <c r="F4" s="8" t="n"/>
      <c r="G4" s="6">
        <f>IF(OR($E4="",$F4=""),"",$E4*$F4)</f>
        <v/>
      </c>
      <c r="H4" s="8" t="n"/>
      <c r="I4" s="9">
        <f>IF($H4="","NÃO","SIM")</f>
        <v/>
      </c>
      <c r="J4" s="6">
        <f>IF($H4="",$G4,$H4)</f>
        <v/>
      </c>
      <c r="K4" s="6">
        <f>IF(OR($J4="",$G4=""),"",$J4-$G4)</f>
        <v/>
      </c>
      <c r="L4" s="4" t="n"/>
      <c r="M4" s="4">
        <f>IF($C4="","",INDEX(Subetapas!$A:$A,MATCH($C4,Subetapas!$B:$B,0)))</f>
        <v/>
      </c>
    </row>
    <row r="5">
      <c r="A5" s="4">
        <f>IF($B5="","","SRV-"&amp;TEXT(ROW()-1,"0000"))</f>
        <v/>
      </c>
      <c r="B5" s="4" t="n"/>
      <c r="C5" s="4" t="n"/>
      <c r="D5" s="4" t="n"/>
      <c r="E5" s="8" t="n"/>
      <c r="F5" s="8" t="n"/>
      <c r="G5" s="6">
        <f>IF(OR($E5="",$F5=""),"",$E5*$F5)</f>
        <v/>
      </c>
      <c r="H5" s="8" t="n"/>
      <c r="I5" s="9">
        <f>IF($H5="","NÃO","SIM")</f>
        <v/>
      </c>
      <c r="J5" s="6">
        <f>IF($H5="",$G5,$H5)</f>
        <v/>
      </c>
      <c r="K5" s="6">
        <f>IF(OR($J5="",$G5=""),"",$J5-$G5)</f>
        <v/>
      </c>
      <c r="L5" s="4" t="n"/>
      <c r="M5" s="4">
        <f>IF($C5="","",INDEX(Subetapas!$A:$A,MATCH($C5,Subetapas!$B:$B,0)))</f>
        <v/>
      </c>
    </row>
    <row r="6">
      <c r="A6" s="4">
        <f>IF($B6="","","SRV-"&amp;TEXT(ROW()-1,"0000"))</f>
        <v/>
      </c>
      <c r="B6" s="4" t="n"/>
      <c r="C6" s="4" t="n"/>
      <c r="D6" s="4" t="n"/>
      <c r="E6" s="8" t="n"/>
      <c r="F6" s="8" t="n"/>
      <c r="G6" s="6">
        <f>IF(OR($E6="",$F6=""),"",$E6*$F6)</f>
        <v/>
      </c>
      <c r="H6" s="8" t="n"/>
      <c r="I6" s="9">
        <f>IF($H6="","NÃO","SIM")</f>
        <v/>
      </c>
      <c r="J6" s="6">
        <f>IF($H6="",$G6,$H6)</f>
        <v/>
      </c>
      <c r="K6" s="6">
        <f>IF(OR($J6="",$G6=""),"",$J6-$G6)</f>
        <v/>
      </c>
      <c r="L6" s="4" t="n"/>
      <c r="M6" s="4">
        <f>IF($C6="","",INDEX(Subetapas!$A:$A,MATCH($C6,Subetapas!$B:$B,0)))</f>
        <v/>
      </c>
    </row>
    <row r="7">
      <c r="A7" s="4">
        <f>IF($B7="","","SRV-"&amp;TEXT(ROW()-1,"0000"))</f>
        <v/>
      </c>
      <c r="B7" s="4" t="n"/>
      <c r="C7" s="4" t="n"/>
      <c r="D7" s="4" t="n"/>
      <c r="E7" s="8" t="n"/>
      <c r="F7" s="8" t="n"/>
      <c r="G7" s="6">
        <f>IF(OR($E7="",$F7=""),"",$E7*$F7)</f>
        <v/>
      </c>
      <c r="H7" s="8" t="n"/>
      <c r="I7" s="9">
        <f>IF($H7="","NÃO","SIM")</f>
        <v/>
      </c>
      <c r="J7" s="6">
        <f>IF($H7="",$G7,$H7)</f>
        <v/>
      </c>
      <c r="K7" s="6">
        <f>IF(OR($J7="",$G7=""),"",$J7-$G7)</f>
        <v/>
      </c>
      <c r="L7" s="4" t="n"/>
      <c r="M7" s="4">
        <f>IF($C7="","",INDEX(Subetapas!$A:$A,MATCH($C7,Subetapas!$B:$B,0)))</f>
        <v/>
      </c>
    </row>
    <row r="8">
      <c r="A8" s="4">
        <f>IF($B8="","","SRV-"&amp;TEXT(ROW()-1,"0000"))</f>
        <v/>
      </c>
      <c r="B8" s="4" t="n"/>
      <c r="C8" s="4" t="n"/>
      <c r="D8" s="4" t="n"/>
      <c r="E8" s="8" t="n"/>
      <c r="F8" s="8" t="n"/>
      <c r="G8" s="6">
        <f>IF(OR($E8="",$F8=""),"",$E8*$F8)</f>
        <v/>
      </c>
      <c r="H8" s="8" t="n"/>
      <c r="I8" s="9">
        <f>IF($H8="","NÃO","SIM")</f>
        <v/>
      </c>
      <c r="J8" s="6">
        <f>IF($H8="",$G8,$H8)</f>
        <v/>
      </c>
      <c r="K8" s="6">
        <f>IF(OR($J8="",$G8=""),"",$J8-$G8)</f>
        <v/>
      </c>
      <c r="L8" s="4" t="n"/>
      <c r="M8" s="4">
        <f>IF($C8="","",INDEX(Subetapas!$A:$A,MATCH($C8,Subetapas!$B:$B,0)))</f>
        <v/>
      </c>
    </row>
    <row r="9">
      <c r="A9" s="4">
        <f>IF($B9="","","SRV-"&amp;TEXT(ROW()-1,"0000"))</f>
        <v/>
      </c>
      <c r="B9" s="4" t="n"/>
      <c r="C9" s="4" t="n"/>
      <c r="D9" s="4" t="n"/>
      <c r="E9" s="8" t="n"/>
      <c r="F9" s="8" t="n"/>
      <c r="G9" s="6">
        <f>IF(OR($E9="",$F9=""),"",$E9*$F9)</f>
        <v/>
      </c>
      <c r="H9" s="8" t="n"/>
      <c r="I9" s="9">
        <f>IF($H9="","NÃO","SIM")</f>
        <v/>
      </c>
      <c r="J9" s="6">
        <f>IF($H9="",$G9,$H9)</f>
        <v/>
      </c>
      <c r="K9" s="6">
        <f>IF(OR($J9="",$G9=""),"",$J9-$G9)</f>
        <v/>
      </c>
      <c r="L9" s="4" t="n"/>
      <c r="M9" s="4">
        <f>IF($C9="","",INDEX(Subetapas!$A:$A,MATCH($C9,Subetapas!$B:$B,0)))</f>
        <v/>
      </c>
    </row>
    <row r="10">
      <c r="A10" s="4">
        <f>IF($B10="","","SRV-"&amp;TEXT(ROW()-1,"0000"))</f>
        <v/>
      </c>
      <c r="B10" s="4" t="n"/>
      <c r="C10" s="4" t="n"/>
      <c r="D10" s="4" t="n"/>
      <c r="E10" s="8" t="n"/>
      <c r="F10" s="8" t="n"/>
      <c r="G10" s="6">
        <f>IF(OR($E10="",$F10=""),"",$E10*$F10)</f>
        <v/>
      </c>
      <c r="H10" s="8" t="n"/>
      <c r="I10" s="9">
        <f>IF($H10="","NÃO","SIM")</f>
        <v/>
      </c>
      <c r="J10" s="6">
        <f>IF($H10="",$G10,$H10)</f>
        <v/>
      </c>
      <c r="K10" s="6">
        <f>IF(OR($J10="",$G10=""),"",$J10-$G10)</f>
        <v/>
      </c>
      <c r="L10" s="4" t="n"/>
      <c r="M10" s="4">
        <f>IF($C10="","",INDEX(Subetapas!$A:$A,MATCH($C10,Subetapas!$B:$B,0)))</f>
        <v/>
      </c>
    </row>
    <row r="11">
      <c r="A11" s="4">
        <f>IF($B11="","","SRV-"&amp;TEXT(ROW()-1,"0000"))</f>
        <v/>
      </c>
      <c r="B11" s="4" t="n"/>
      <c r="C11" s="4" t="n"/>
      <c r="D11" s="4" t="n"/>
      <c r="E11" s="8" t="n"/>
      <c r="F11" s="8" t="n"/>
      <c r="G11" s="6">
        <f>IF(OR($E11="",$F11=""),"",$E11*$F11)</f>
        <v/>
      </c>
      <c r="H11" s="8" t="n"/>
      <c r="I11" s="9">
        <f>IF($H11="","NÃO","SIM")</f>
        <v/>
      </c>
      <c r="J11" s="6">
        <f>IF($H11="",$G11,$H11)</f>
        <v/>
      </c>
      <c r="K11" s="6">
        <f>IF(OR($J11="",$G11=""),"",$J11-$G11)</f>
        <v/>
      </c>
      <c r="L11" s="4" t="n"/>
      <c r="M11" s="4">
        <f>IF($C11="","",INDEX(Subetapas!$A:$A,MATCH($C11,Subetapas!$B:$B,0)))</f>
        <v/>
      </c>
    </row>
    <row r="12">
      <c r="A12" s="4">
        <f>IF($B12="","","SRV-"&amp;TEXT(ROW()-1,"0000"))</f>
        <v/>
      </c>
      <c r="B12" s="4" t="n"/>
      <c r="C12" s="4" t="n"/>
      <c r="D12" s="4" t="n"/>
      <c r="E12" s="8" t="n"/>
      <c r="F12" s="8" t="n"/>
      <c r="G12" s="6">
        <f>IF(OR($E12="",$F12=""),"",$E12*$F12)</f>
        <v/>
      </c>
      <c r="H12" s="8" t="n"/>
      <c r="I12" s="9">
        <f>IF($H12="","NÃO","SIM")</f>
        <v/>
      </c>
      <c r="J12" s="6">
        <f>IF($H12="",$G12,$H12)</f>
        <v/>
      </c>
      <c r="K12" s="6">
        <f>IF(OR($J12="",$G12=""),"",$J12-$G12)</f>
        <v/>
      </c>
      <c r="L12" s="4" t="n"/>
      <c r="M12" s="4">
        <f>IF($C12="","",INDEX(Subetapas!$A:$A,MATCH($C12,Subetapas!$B:$B,0)))</f>
        <v/>
      </c>
    </row>
    <row r="13">
      <c r="A13" s="4">
        <f>IF($B13="","","SRV-"&amp;TEXT(ROW()-1,"0000"))</f>
        <v/>
      </c>
      <c r="B13" s="4" t="n"/>
      <c r="C13" s="4" t="n"/>
      <c r="D13" s="4" t="n"/>
      <c r="E13" s="8" t="n"/>
      <c r="F13" s="8" t="n"/>
      <c r="G13" s="6">
        <f>IF(OR($E13="",$F13=""),"",$E13*$F13)</f>
        <v/>
      </c>
      <c r="H13" s="8" t="n"/>
      <c r="I13" s="9">
        <f>IF($H13="","NÃO","SIM")</f>
        <v/>
      </c>
      <c r="J13" s="6">
        <f>IF($H13="",$G13,$H13)</f>
        <v/>
      </c>
      <c r="K13" s="6">
        <f>IF(OR($J13="",$G13=""),"",$J13-$G13)</f>
        <v/>
      </c>
      <c r="L13" s="4" t="n"/>
      <c r="M13" s="4">
        <f>IF($C13="","",INDEX(Subetapas!$A:$A,MATCH($C13,Subetapas!$B:$B,0)))</f>
        <v/>
      </c>
    </row>
    <row r="14">
      <c r="A14" s="4">
        <f>IF($B14="","","SRV-"&amp;TEXT(ROW()-1,"0000"))</f>
        <v/>
      </c>
      <c r="B14" s="4" t="n"/>
      <c r="C14" s="4" t="n"/>
      <c r="D14" s="4" t="n"/>
      <c r="E14" s="8" t="n"/>
      <c r="F14" s="8" t="n"/>
      <c r="G14" s="6">
        <f>IF(OR($E14="",$F14=""),"",$E14*$F14)</f>
        <v/>
      </c>
      <c r="H14" s="8" t="n"/>
      <c r="I14" s="9">
        <f>IF($H14="","NÃO","SIM")</f>
        <v/>
      </c>
      <c r="J14" s="6">
        <f>IF($H14="",$G14,$H14)</f>
        <v/>
      </c>
      <c r="K14" s="6">
        <f>IF(OR($J14="",$G14=""),"",$J14-$G14)</f>
        <v/>
      </c>
      <c r="L14" s="4" t="n"/>
      <c r="M14" s="4">
        <f>IF($C14="","",INDEX(Subetapas!$A:$A,MATCH($C14,Subetapas!$B:$B,0)))</f>
        <v/>
      </c>
    </row>
    <row r="15">
      <c r="A15" s="4">
        <f>IF($B15="","","SRV-"&amp;TEXT(ROW()-1,"0000"))</f>
        <v/>
      </c>
      <c r="B15" s="4" t="n"/>
      <c r="C15" s="4" t="n"/>
      <c r="D15" s="4" t="n"/>
      <c r="E15" s="8" t="n"/>
      <c r="F15" s="8" t="n"/>
      <c r="G15" s="6">
        <f>IF(OR($E15="",$F15=""),"",$E15*$F15)</f>
        <v/>
      </c>
      <c r="H15" s="8" t="n"/>
      <c r="I15" s="9">
        <f>IF($H15="","NÃO","SIM")</f>
        <v/>
      </c>
      <c r="J15" s="6">
        <f>IF($H15="",$G15,$H15)</f>
        <v/>
      </c>
      <c r="K15" s="6">
        <f>IF(OR($J15="",$G15=""),"",$J15-$G15)</f>
        <v/>
      </c>
      <c r="L15" s="4" t="n"/>
      <c r="M15" s="4">
        <f>IF($C15="","",INDEX(Subetapas!$A:$A,MATCH($C15,Subetapas!$B:$B,0)))</f>
        <v/>
      </c>
    </row>
    <row r="16">
      <c r="A16" s="4">
        <f>IF($B16="","","SRV-"&amp;TEXT(ROW()-1,"0000"))</f>
        <v/>
      </c>
      <c r="B16" s="4" t="n"/>
      <c r="C16" s="4" t="n"/>
      <c r="D16" s="4" t="n"/>
      <c r="E16" s="8" t="n"/>
      <c r="F16" s="8" t="n"/>
      <c r="G16" s="6">
        <f>IF(OR($E16="",$F16=""),"",$E16*$F16)</f>
        <v/>
      </c>
      <c r="H16" s="8" t="n"/>
      <c r="I16" s="9">
        <f>IF($H16="","NÃO","SIM")</f>
        <v/>
      </c>
      <c r="J16" s="6">
        <f>IF($H16="",$G16,$H16)</f>
        <v/>
      </c>
      <c r="K16" s="6">
        <f>IF(OR($J16="",$G16=""),"",$J16-$G16)</f>
        <v/>
      </c>
      <c r="L16" s="4" t="n"/>
      <c r="M16" s="4">
        <f>IF($C16="","",INDEX(Subetapas!$A:$A,MATCH($C16,Subetapas!$B:$B,0)))</f>
        <v/>
      </c>
    </row>
    <row r="17">
      <c r="A17" s="4">
        <f>IF($B17="","","SRV-"&amp;TEXT(ROW()-1,"0000"))</f>
        <v/>
      </c>
      <c r="B17" s="4" t="n"/>
      <c r="C17" s="4" t="n"/>
      <c r="D17" s="4" t="n"/>
      <c r="E17" s="8" t="n"/>
      <c r="F17" s="8" t="n"/>
      <c r="G17" s="6">
        <f>IF(OR($E17="",$F17=""),"",$E17*$F17)</f>
        <v/>
      </c>
      <c r="H17" s="8" t="n"/>
      <c r="I17" s="9">
        <f>IF($H17="","NÃO","SIM")</f>
        <v/>
      </c>
      <c r="J17" s="6">
        <f>IF($H17="",$G17,$H17)</f>
        <v/>
      </c>
      <c r="K17" s="6">
        <f>IF(OR($J17="",$G17=""),"",$J17-$G17)</f>
        <v/>
      </c>
      <c r="L17" s="4" t="n"/>
      <c r="M17" s="4">
        <f>IF($C17="","",INDEX(Subetapas!$A:$A,MATCH($C17,Subetapas!$B:$B,0)))</f>
        <v/>
      </c>
    </row>
    <row r="18">
      <c r="A18" s="4">
        <f>IF($B18="","","SRV-"&amp;TEXT(ROW()-1,"0000"))</f>
        <v/>
      </c>
      <c r="B18" s="4" t="n"/>
      <c r="C18" s="4" t="n"/>
      <c r="D18" s="4" t="n"/>
      <c r="E18" s="8" t="n"/>
      <c r="F18" s="8" t="n"/>
      <c r="G18" s="6">
        <f>IF(OR($E18="",$F18=""),"",$E18*$F18)</f>
        <v/>
      </c>
      <c r="H18" s="8" t="n"/>
      <c r="I18" s="9">
        <f>IF($H18="","NÃO","SIM")</f>
        <v/>
      </c>
      <c r="J18" s="6">
        <f>IF($H18="",$G18,$H18)</f>
        <v/>
      </c>
      <c r="K18" s="6">
        <f>IF(OR($J18="",$G18=""),"",$J18-$G18)</f>
        <v/>
      </c>
      <c r="L18" s="4" t="n"/>
      <c r="M18" s="4">
        <f>IF($C18="","",INDEX(Subetapas!$A:$A,MATCH($C18,Subetapas!$B:$B,0)))</f>
        <v/>
      </c>
    </row>
    <row r="19">
      <c r="A19" s="4">
        <f>IF($B19="","","SRV-"&amp;TEXT(ROW()-1,"0000"))</f>
        <v/>
      </c>
      <c r="B19" s="4" t="n"/>
      <c r="C19" s="4" t="n"/>
      <c r="D19" s="4" t="n"/>
      <c r="E19" s="8" t="n"/>
      <c r="F19" s="8" t="n"/>
      <c r="G19" s="6">
        <f>IF(OR($E19="",$F19=""),"",$E19*$F19)</f>
        <v/>
      </c>
      <c r="H19" s="8" t="n"/>
      <c r="I19" s="9">
        <f>IF($H19="","NÃO","SIM")</f>
        <v/>
      </c>
      <c r="J19" s="6">
        <f>IF($H19="",$G19,$H19)</f>
        <v/>
      </c>
      <c r="K19" s="6">
        <f>IF(OR($J19="",$G19=""),"",$J19-$G19)</f>
        <v/>
      </c>
      <c r="L19" s="4" t="n"/>
      <c r="M19" s="4">
        <f>IF($C19="","",INDEX(Subetapas!$A:$A,MATCH($C19,Subetapas!$B:$B,0)))</f>
        <v/>
      </c>
    </row>
    <row r="20">
      <c r="A20" s="4">
        <f>IF($B20="","","SRV-"&amp;TEXT(ROW()-1,"0000"))</f>
        <v/>
      </c>
      <c r="B20" s="4" t="n"/>
      <c r="C20" s="4" t="n"/>
      <c r="D20" s="4" t="n"/>
      <c r="E20" s="8" t="n"/>
      <c r="F20" s="8" t="n"/>
      <c r="G20" s="6">
        <f>IF(OR($E20="",$F20=""),"",$E20*$F20)</f>
        <v/>
      </c>
      <c r="H20" s="8" t="n"/>
      <c r="I20" s="9">
        <f>IF($H20="","NÃO","SIM")</f>
        <v/>
      </c>
      <c r="J20" s="6">
        <f>IF($H20="",$G20,$H20)</f>
        <v/>
      </c>
      <c r="K20" s="6">
        <f>IF(OR($J20="",$G20=""),"",$J20-$G20)</f>
        <v/>
      </c>
      <c r="L20" s="4" t="n"/>
      <c r="M20" s="4">
        <f>IF($C20="","",INDEX(Subetapas!$A:$A,MATCH($C20,Subetapas!$B:$B,0)))</f>
        <v/>
      </c>
    </row>
    <row r="21">
      <c r="A21" s="4">
        <f>IF($B21="","","SRV-"&amp;TEXT(ROW()-1,"0000"))</f>
        <v/>
      </c>
      <c r="B21" s="4" t="n"/>
      <c r="C21" s="4" t="n"/>
      <c r="D21" s="4" t="n"/>
      <c r="E21" s="8" t="n"/>
      <c r="F21" s="8" t="n"/>
      <c r="G21" s="6">
        <f>IF(OR($E21="",$F21=""),"",$E21*$F21)</f>
        <v/>
      </c>
      <c r="H21" s="8" t="n"/>
      <c r="I21" s="9">
        <f>IF($H21="","NÃO","SIM")</f>
        <v/>
      </c>
      <c r="J21" s="6">
        <f>IF($H21="",$G21,$H21)</f>
        <v/>
      </c>
      <c r="K21" s="6">
        <f>IF(OR($J21="",$G21=""),"",$J21-$G21)</f>
        <v/>
      </c>
      <c r="L21" s="4" t="n"/>
      <c r="M21" s="4">
        <f>IF($C21="","",INDEX(Subetapas!$A:$A,MATCH($C21,Subetapas!$B:$B,0)))</f>
        <v/>
      </c>
    </row>
    <row r="22">
      <c r="A22" s="4">
        <f>IF($B22="","","SRV-"&amp;TEXT(ROW()-1,"0000"))</f>
        <v/>
      </c>
      <c r="B22" s="4" t="n"/>
      <c r="C22" s="4" t="n"/>
      <c r="D22" s="4" t="n"/>
      <c r="E22" s="8" t="n"/>
      <c r="F22" s="8" t="n"/>
      <c r="G22" s="6">
        <f>IF(OR($E22="",$F22=""),"",$E22*$F22)</f>
        <v/>
      </c>
      <c r="H22" s="8" t="n"/>
      <c r="I22" s="9">
        <f>IF($H22="","NÃO","SIM")</f>
        <v/>
      </c>
      <c r="J22" s="6">
        <f>IF($H22="",$G22,$H22)</f>
        <v/>
      </c>
      <c r="K22" s="6">
        <f>IF(OR($J22="",$G22=""),"",$J22-$G22)</f>
        <v/>
      </c>
      <c r="L22" s="4" t="n"/>
      <c r="M22" s="4">
        <f>IF($C22="","",INDEX(Subetapas!$A:$A,MATCH($C22,Subetapas!$B:$B,0)))</f>
        <v/>
      </c>
    </row>
    <row r="23">
      <c r="A23" s="4">
        <f>IF($B23="","","SRV-"&amp;TEXT(ROW()-1,"0000"))</f>
        <v/>
      </c>
      <c r="B23" s="4" t="n"/>
      <c r="C23" s="4" t="n"/>
      <c r="D23" s="4" t="n"/>
      <c r="E23" s="8" t="n"/>
      <c r="F23" s="8" t="n"/>
      <c r="G23" s="6">
        <f>IF(OR($E23="",$F23=""),"",$E23*$F23)</f>
        <v/>
      </c>
      <c r="H23" s="8" t="n"/>
      <c r="I23" s="9">
        <f>IF($H23="","NÃO","SIM")</f>
        <v/>
      </c>
      <c r="J23" s="6">
        <f>IF($H23="",$G23,$H23)</f>
        <v/>
      </c>
      <c r="K23" s="6">
        <f>IF(OR($J23="",$G23=""),"",$J23-$G23)</f>
        <v/>
      </c>
      <c r="L23" s="4" t="n"/>
      <c r="M23" s="4">
        <f>IF($C23="","",INDEX(Subetapas!$A:$A,MATCH($C23,Subetapas!$B:$B,0)))</f>
        <v/>
      </c>
    </row>
    <row r="24">
      <c r="A24" s="4">
        <f>IF($B24="","","SRV-"&amp;TEXT(ROW()-1,"0000"))</f>
        <v/>
      </c>
      <c r="B24" s="4" t="n"/>
      <c r="C24" s="4" t="n"/>
      <c r="D24" s="4" t="n"/>
      <c r="E24" s="8" t="n"/>
      <c r="F24" s="8" t="n"/>
      <c r="G24" s="6">
        <f>IF(OR($E24="",$F24=""),"",$E24*$F24)</f>
        <v/>
      </c>
      <c r="H24" s="8" t="n"/>
      <c r="I24" s="9">
        <f>IF($H24="","NÃO","SIM")</f>
        <v/>
      </c>
      <c r="J24" s="6">
        <f>IF($H24="",$G24,$H24)</f>
        <v/>
      </c>
      <c r="K24" s="6">
        <f>IF(OR($J24="",$G24=""),"",$J24-$G24)</f>
        <v/>
      </c>
      <c r="L24" s="4" t="n"/>
      <c r="M24" s="4">
        <f>IF($C24="","",INDEX(Subetapas!$A:$A,MATCH($C24,Subetapas!$B:$B,0)))</f>
        <v/>
      </c>
    </row>
    <row r="25">
      <c r="A25" s="4">
        <f>IF($B25="","","SRV-"&amp;TEXT(ROW()-1,"0000"))</f>
        <v/>
      </c>
      <c r="B25" s="4" t="n"/>
      <c r="C25" s="4" t="n"/>
      <c r="D25" s="4" t="n"/>
      <c r="E25" s="8" t="n"/>
      <c r="F25" s="8" t="n"/>
      <c r="G25" s="6">
        <f>IF(OR($E25="",$F25=""),"",$E25*$F25)</f>
        <v/>
      </c>
      <c r="H25" s="8" t="n"/>
      <c r="I25" s="9">
        <f>IF($H25="","NÃO","SIM")</f>
        <v/>
      </c>
      <c r="J25" s="6">
        <f>IF($H25="",$G25,$H25)</f>
        <v/>
      </c>
      <c r="K25" s="6">
        <f>IF(OR($J25="",$G25=""),"",$J25-$G25)</f>
        <v/>
      </c>
      <c r="L25" s="4" t="n"/>
      <c r="M25" s="4">
        <f>IF($C25="","",INDEX(Subetapas!$A:$A,MATCH($C25,Subetapas!$B:$B,0)))</f>
        <v/>
      </c>
    </row>
    <row r="26">
      <c r="A26" s="4">
        <f>IF($B26="","","SRV-"&amp;TEXT(ROW()-1,"0000"))</f>
        <v/>
      </c>
      <c r="B26" s="4" t="n"/>
      <c r="C26" s="4" t="n"/>
      <c r="D26" s="4" t="n"/>
      <c r="E26" s="8" t="n"/>
      <c r="F26" s="8" t="n"/>
      <c r="G26" s="6">
        <f>IF(OR($E26="",$F26=""),"",$E26*$F26)</f>
        <v/>
      </c>
      <c r="H26" s="8" t="n"/>
      <c r="I26" s="9">
        <f>IF($H26="","NÃO","SIM")</f>
        <v/>
      </c>
      <c r="J26" s="6">
        <f>IF($H26="",$G26,$H26)</f>
        <v/>
      </c>
      <c r="K26" s="6">
        <f>IF(OR($J26="",$G26=""),"",$J26-$G26)</f>
        <v/>
      </c>
      <c r="L26" s="4" t="n"/>
      <c r="M26" s="4">
        <f>IF($C26="","",INDEX(Subetapas!$A:$A,MATCH($C26,Subetapas!$B:$B,0)))</f>
        <v/>
      </c>
    </row>
    <row r="27">
      <c r="A27" s="4">
        <f>IF($B27="","","SRV-"&amp;TEXT(ROW()-1,"0000"))</f>
        <v/>
      </c>
      <c r="B27" s="4" t="n"/>
      <c r="C27" s="4" t="n"/>
      <c r="D27" s="4" t="n"/>
      <c r="E27" s="8" t="n"/>
      <c r="F27" s="8" t="n"/>
      <c r="G27" s="6">
        <f>IF(OR($E27="",$F27=""),"",$E27*$F27)</f>
        <v/>
      </c>
      <c r="H27" s="8" t="n"/>
      <c r="I27" s="9">
        <f>IF($H27="","NÃO","SIM")</f>
        <v/>
      </c>
      <c r="J27" s="6">
        <f>IF($H27="",$G27,$H27)</f>
        <v/>
      </c>
      <c r="K27" s="6">
        <f>IF(OR($J27="",$G27=""),"",$J27-$G27)</f>
        <v/>
      </c>
      <c r="L27" s="4" t="n"/>
      <c r="M27" s="4">
        <f>IF($C27="","",INDEX(Subetapas!$A:$A,MATCH($C27,Subetapas!$B:$B,0)))</f>
        <v/>
      </c>
    </row>
    <row r="28">
      <c r="A28" s="4">
        <f>IF($B28="","","SRV-"&amp;TEXT(ROW()-1,"0000"))</f>
        <v/>
      </c>
      <c r="B28" s="4" t="n"/>
      <c r="C28" s="4" t="n"/>
      <c r="D28" s="4" t="n"/>
      <c r="E28" s="8" t="n"/>
      <c r="F28" s="8" t="n"/>
      <c r="G28" s="6">
        <f>IF(OR($E28="",$F28=""),"",$E28*$F28)</f>
        <v/>
      </c>
      <c r="H28" s="8" t="n"/>
      <c r="I28" s="9">
        <f>IF($H28="","NÃO","SIM")</f>
        <v/>
      </c>
      <c r="J28" s="6">
        <f>IF($H28="",$G28,$H28)</f>
        <v/>
      </c>
      <c r="K28" s="6">
        <f>IF(OR($J28="",$G28=""),"",$J28-$G28)</f>
        <v/>
      </c>
      <c r="L28" s="4" t="n"/>
      <c r="M28" s="4">
        <f>IF($C28="","",INDEX(Subetapas!$A:$A,MATCH($C28,Subetapas!$B:$B,0)))</f>
        <v/>
      </c>
    </row>
    <row r="29">
      <c r="A29" s="4">
        <f>IF($B29="","","SRV-"&amp;TEXT(ROW()-1,"0000"))</f>
        <v/>
      </c>
      <c r="B29" s="4" t="n"/>
      <c r="C29" s="4" t="n"/>
      <c r="D29" s="4" t="n"/>
      <c r="E29" s="8" t="n"/>
      <c r="F29" s="8" t="n"/>
      <c r="G29" s="6">
        <f>IF(OR($E29="",$F29=""),"",$E29*$F29)</f>
        <v/>
      </c>
      <c r="H29" s="8" t="n"/>
      <c r="I29" s="9">
        <f>IF($H29="","NÃO","SIM")</f>
        <v/>
      </c>
      <c r="J29" s="6">
        <f>IF($H29="",$G29,$H29)</f>
        <v/>
      </c>
      <c r="K29" s="6">
        <f>IF(OR($J29="",$G29=""),"",$J29-$G29)</f>
        <v/>
      </c>
      <c r="L29" s="4" t="n"/>
      <c r="M29" s="4">
        <f>IF($C29="","",INDEX(Subetapas!$A:$A,MATCH($C29,Subetapas!$B:$B,0)))</f>
        <v/>
      </c>
    </row>
    <row r="30">
      <c r="A30" s="4">
        <f>IF($B30="","","SRV-"&amp;TEXT(ROW()-1,"0000"))</f>
        <v/>
      </c>
      <c r="B30" s="4" t="n"/>
      <c r="C30" s="4" t="n"/>
      <c r="D30" s="4" t="n"/>
      <c r="E30" s="8" t="n"/>
      <c r="F30" s="8" t="n"/>
      <c r="G30" s="6">
        <f>IF(OR($E30="",$F30=""),"",$E30*$F30)</f>
        <v/>
      </c>
      <c r="H30" s="8" t="n"/>
      <c r="I30" s="9">
        <f>IF($H30="","NÃO","SIM")</f>
        <v/>
      </c>
      <c r="J30" s="6">
        <f>IF($H30="",$G30,$H30)</f>
        <v/>
      </c>
      <c r="K30" s="6">
        <f>IF(OR($J30="",$G30=""),"",$J30-$G30)</f>
        <v/>
      </c>
      <c r="L30" s="4" t="n"/>
      <c r="M30" s="4">
        <f>IF($C30="","",INDEX(Subetapas!$A:$A,MATCH($C30,Subetapas!$B:$B,0)))</f>
        <v/>
      </c>
    </row>
    <row r="31">
      <c r="A31" s="4">
        <f>IF($B31="","","SRV-"&amp;TEXT(ROW()-1,"0000"))</f>
        <v/>
      </c>
      <c r="B31" s="4" t="n"/>
      <c r="C31" s="4" t="n"/>
      <c r="D31" s="4" t="n"/>
      <c r="E31" s="8" t="n"/>
      <c r="F31" s="8" t="n"/>
      <c r="G31" s="6">
        <f>IF(OR($E31="",$F31=""),"",$E31*$F31)</f>
        <v/>
      </c>
      <c r="H31" s="8" t="n"/>
      <c r="I31" s="9">
        <f>IF($H31="","NÃO","SIM")</f>
        <v/>
      </c>
      <c r="J31" s="6">
        <f>IF($H31="",$G31,$H31)</f>
        <v/>
      </c>
      <c r="K31" s="6">
        <f>IF(OR($J31="",$G31=""),"",$J31-$G31)</f>
        <v/>
      </c>
      <c r="L31" s="4" t="n"/>
      <c r="M31" s="4">
        <f>IF($C31="","",INDEX(Subetapas!$A:$A,MATCH($C31,Subetapas!$B:$B,0)))</f>
        <v/>
      </c>
    </row>
  </sheetData>
  <autoFilter ref="A1:M31"/>
  <dataValidations count="4">
    <dataValidation sqref="C2:C31" showDropDown="0" showInputMessage="0" showErrorMessage="1" allowBlank="1" errorTitle="Subetapa inválida" error="Selecione uma Subetapa já cadastrada na aba Subetapas." type="list">
      <formula1>Lista_Subetapas</formula1>
    </dataValidation>
    <dataValidation sqref="L2:L31" showDropDown="0" showInputMessage="0" showErrorMessage="1" allowBlank="1" errorTitle="Status inválido" error="Selecione um dos status oficiais: Ativo, Concluído, Cancelado, Retirado do Escopo, Substituído." type="list">
      <formula1>"Ativo,Concluído,Cancelado,Retirado do Escopo,Substituído"</formula1>
    </dataValidation>
    <dataValidation sqref="E2:E31" showDropDown="0" showInputMessage="0" showErrorMessage="1" allowBlank="1" errorTitle="Quantidade inválida" error="Informe um número maior ou igual a zero." type="decimal" operator="greaterThanOrEqual">
      <formula1>0</formula1>
    </dataValidation>
    <dataValidation sqref="F2:F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20" customWidth="1" min="2" max="2"/>
    <col width="14" customWidth="1" min="3" max="3"/>
    <col width="34" customWidth="1" min="4" max="4"/>
    <col width="16" customWidth="1" min="5" max="5"/>
    <col width="26" customWidth="1" min="6" max="6"/>
    <col width="16" customWidth="1" min="7" max="7"/>
    <col width="18" customWidth="1" min="8" max="8"/>
    <col width="16" customWidth="1" min="9" max="9"/>
    <col width="16" customWidth="1" min="10" max="10"/>
    <col width="18" customWidth="1" min="11" max="11"/>
    <col width="30" customWidth="1" min="12" max="12"/>
    <col hidden="1" width="16" customWidth="1" min="13" max="13"/>
  </cols>
  <sheetData>
    <row r="1" ht="30" customHeight="1">
      <c r="A1" s="7" t="inlineStr">
        <is>
          <t>ID (técnico)</t>
        </is>
      </c>
      <c r="B1" s="7" t="inlineStr">
        <is>
          <t>Tipo</t>
        </is>
      </c>
      <c r="C1" s="7" t="inlineStr">
        <is>
          <t>Data</t>
        </is>
      </c>
      <c r="D1" s="7" t="inlineStr">
        <is>
          <t>Descrição</t>
        </is>
      </c>
      <c r="E1" s="7" t="inlineStr">
        <is>
          <t>Valor</t>
        </is>
      </c>
      <c r="F1" s="7" t="inlineStr">
        <is>
          <t>Entrada/Saída</t>
        </is>
      </c>
      <c r="G1" s="7" t="inlineStr">
        <is>
          <t>Aporte</t>
        </is>
      </c>
      <c r="H1" s="7" t="inlineStr">
        <is>
          <t>Custo Realizado</t>
        </is>
      </c>
      <c r="I1" s="7" t="inlineStr">
        <is>
          <t>Total Pago</t>
        </is>
      </c>
      <c r="J1" s="7" t="inlineStr">
        <is>
          <t>A Pagar</t>
        </is>
      </c>
      <c r="K1" s="7" t="inlineStr">
        <is>
          <t>Situação</t>
        </is>
      </c>
      <c r="L1" s="7" t="inlineStr">
        <is>
          <t>Observação</t>
        </is>
      </c>
      <c r="M1" s="7" t="inlineStr">
        <is>
          <t>ID_Obra (técnico)</t>
        </is>
      </c>
    </row>
    <row r="2">
      <c r="A2" s="4">
        <f>IF($B2="","","FIN-"&amp;TEXT(ROW()-1,"0000"))</f>
        <v/>
      </c>
      <c r="B2" s="4" t="n"/>
      <c r="C2" s="5" t="n"/>
      <c r="D2" s="4" t="n"/>
      <c r="E2" s="10" t="n"/>
      <c r="F2" s="9">
        <f>IF($B2="","",IF($B2="Aporte","Entrada",IF($B2="Outras Entradas","Entrada",IF($B2="Outras Saídas","Saída","Custo (Caixa só no Pagamento)"))))</f>
        <v/>
      </c>
      <c r="G2" s="11">
        <f>IF($B2="Aporte",$E2,"")</f>
        <v/>
      </c>
      <c r="H2" s="11">
        <f>IF($B2="Despesa/Custo",$E2,"")</f>
        <v/>
      </c>
      <c r="I2" s="11">
        <f>IF($B2="Despesa/Custo",SUMIFS(Pagamentos!$D:$D,Pagamentos!$F:$F,$A2),"")</f>
        <v/>
      </c>
      <c r="J2" s="11">
        <f>IF($B2="Despesa/Custo",$H2-$I2,"")</f>
        <v/>
      </c>
      <c r="K2" s="4" t="n"/>
      <c r="L2" s="4" t="n"/>
      <c r="M2" s="4">
        <f>IF($B2="","",Base_Dados!$B$2)</f>
        <v/>
      </c>
    </row>
    <row r="3">
      <c r="A3" s="4">
        <f>IF($B3="","","FIN-"&amp;TEXT(ROW()-1,"0000"))</f>
        <v/>
      </c>
      <c r="B3" s="4" t="n"/>
      <c r="C3" s="5" t="n"/>
      <c r="D3" s="4" t="n"/>
      <c r="E3" s="10" t="n"/>
      <c r="F3" s="9">
        <f>IF($B3="","",IF($B3="Aporte","Entrada",IF($B3="Outras Entradas","Entrada",IF($B3="Outras Saídas","Saída","Custo (Caixa só no Pagamento)"))))</f>
        <v/>
      </c>
      <c r="G3" s="11">
        <f>IF($B3="Aporte",$E3,"")</f>
        <v/>
      </c>
      <c r="H3" s="11">
        <f>IF($B3="Despesa/Custo",$E3,"")</f>
        <v/>
      </c>
      <c r="I3" s="11">
        <f>IF($B3="Despesa/Custo",SUMIFS(Pagamentos!$D:$D,Pagamentos!$F:$F,$A3),"")</f>
        <v/>
      </c>
      <c r="J3" s="11">
        <f>IF($B3="Despesa/Custo",$H3-$I3,"")</f>
        <v/>
      </c>
      <c r="K3" s="4" t="n"/>
      <c r="L3" s="4" t="n"/>
      <c r="M3" s="4">
        <f>IF($B3="","",Base_Dados!$B$2)</f>
        <v/>
      </c>
    </row>
    <row r="4">
      <c r="A4" s="4">
        <f>IF($B4="","","FIN-"&amp;TEXT(ROW()-1,"0000"))</f>
        <v/>
      </c>
      <c r="B4" s="4" t="n"/>
      <c r="C4" s="5" t="n"/>
      <c r="D4" s="4" t="n"/>
      <c r="E4" s="10" t="n"/>
      <c r="F4" s="9">
        <f>IF($B4="","",IF($B4="Aporte","Entrada",IF($B4="Outras Entradas","Entrada",IF($B4="Outras Saídas","Saída","Custo (Caixa só no Pagamento)"))))</f>
        <v/>
      </c>
      <c r="G4" s="11">
        <f>IF($B4="Aporte",$E4,"")</f>
        <v/>
      </c>
      <c r="H4" s="11">
        <f>IF($B4="Despesa/Custo",$E4,"")</f>
        <v/>
      </c>
      <c r="I4" s="11">
        <f>IF($B4="Despesa/Custo",SUMIFS(Pagamentos!$D:$D,Pagamentos!$F:$F,$A4),"")</f>
        <v/>
      </c>
      <c r="J4" s="11">
        <f>IF($B4="Despesa/Custo",$H4-$I4,"")</f>
        <v/>
      </c>
      <c r="K4" s="4" t="n"/>
      <c r="L4" s="4" t="n"/>
      <c r="M4" s="4">
        <f>IF($B4="","",Base_Dados!$B$2)</f>
        <v/>
      </c>
    </row>
    <row r="5">
      <c r="A5" s="4">
        <f>IF($B5="","","FIN-"&amp;TEXT(ROW()-1,"0000"))</f>
        <v/>
      </c>
      <c r="B5" s="4" t="n"/>
      <c r="C5" s="5" t="n"/>
      <c r="D5" s="4" t="n"/>
      <c r="E5" s="10" t="n"/>
      <c r="F5" s="9">
        <f>IF($B5="","",IF($B5="Aporte","Entrada",IF($B5="Outras Entradas","Entrada",IF($B5="Outras Saídas","Saída","Custo (Caixa só no Pagamento)"))))</f>
        <v/>
      </c>
      <c r="G5" s="11">
        <f>IF($B5="Aporte",$E5,"")</f>
        <v/>
      </c>
      <c r="H5" s="11">
        <f>IF($B5="Despesa/Custo",$E5,"")</f>
        <v/>
      </c>
      <c r="I5" s="11">
        <f>IF($B5="Despesa/Custo",SUMIFS(Pagamentos!$D:$D,Pagamentos!$F:$F,$A5),"")</f>
        <v/>
      </c>
      <c r="J5" s="11">
        <f>IF($B5="Despesa/Custo",$H5-$I5,"")</f>
        <v/>
      </c>
      <c r="K5" s="4" t="n"/>
      <c r="L5" s="4" t="n"/>
      <c r="M5" s="4">
        <f>IF($B5="","",Base_Dados!$B$2)</f>
        <v/>
      </c>
    </row>
    <row r="6">
      <c r="A6" s="4">
        <f>IF($B6="","","FIN-"&amp;TEXT(ROW()-1,"0000"))</f>
        <v/>
      </c>
      <c r="B6" s="4" t="n"/>
      <c r="C6" s="5" t="n"/>
      <c r="D6" s="4" t="n"/>
      <c r="E6" s="10" t="n"/>
      <c r="F6" s="9">
        <f>IF($B6="","",IF($B6="Aporte","Entrada",IF($B6="Outras Entradas","Entrada",IF($B6="Outras Saídas","Saída","Custo (Caixa só no Pagamento)"))))</f>
        <v/>
      </c>
      <c r="G6" s="11">
        <f>IF($B6="Aporte",$E6,"")</f>
        <v/>
      </c>
      <c r="H6" s="11">
        <f>IF($B6="Despesa/Custo",$E6,"")</f>
        <v/>
      </c>
      <c r="I6" s="11">
        <f>IF($B6="Despesa/Custo",SUMIFS(Pagamentos!$D:$D,Pagamentos!$F:$F,$A6),"")</f>
        <v/>
      </c>
      <c r="J6" s="11">
        <f>IF($B6="Despesa/Custo",$H6-$I6,"")</f>
        <v/>
      </c>
      <c r="K6" s="4" t="n"/>
      <c r="L6" s="4" t="n"/>
      <c r="M6" s="4">
        <f>IF($B6="","",Base_Dados!$B$2)</f>
        <v/>
      </c>
    </row>
    <row r="7">
      <c r="A7" s="4">
        <f>IF($B7="","","FIN-"&amp;TEXT(ROW()-1,"0000"))</f>
        <v/>
      </c>
      <c r="B7" s="4" t="n"/>
      <c r="C7" s="5" t="n"/>
      <c r="D7" s="4" t="n"/>
      <c r="E7" s="10" t="n"/>
      <c r="F7" s="9">
        <f>IF($B7="","",IF($B7="Aporte","Entrada",IF($B7="Outras Entradas","Entrada",IF($B7="Outras Saídas","Saída","Custo (Caixa só no Pagamento)"))))</f>
        <v/>
      </c>
      <c r="G7" s="11">
        <f>IF($B7="Aporte",$E7,"")</f>
        <v/>
      </c>
      <c r="H7" s="11">
        <f>IF($B7="Despesa/Custo",$E7,"")</f>
        <v/>
      </c>
      <c r="I7" s="11">
        <f>IF($B7="Despesa/Custo",SUMIFS(Pagamentos!$D:$D,Pagamentos!$F:$F,$A7),"")</f>
        <v/>
      </c>
      <c r="J7" s="11">
        <f>IF($B7="Despesa/Custo",$H7-$I7,"")</f>
        <v/>
      </c>
      <c r="K7" s="4" t="n"/>
      <c r="L7" s="4" t="n"/>
      <c r="M7" s="4">
        <f>IF($B7="","",Base_Dados!$B$2)</f>
        <v/>
      </c>
    </row>
    <row r="8">
      <c r="A8" s="4">
        <f>IF($B8="","","FIN-"&amp;TEXT(ROW()-1,"0000"))</f>
        <v/>
      </c>
      <c r="B8" s="4" t="n"/>
      <c r="C8" s="5" t="n"/>
      <c r="D8" s="4" t="n"/>
      <c r="E8" s="10" t="n"/>
      <c r="F8" s="9">
        <f>IF($B8="","",IF($B8="Aporte","Entrada",IF($B8="Outras Entradas","Entrada",IF($B8="Outras Saídas","Saída","Custo (Caixa só no Pagamento)"))))</f>
        <v/>
      </c>
      <c r="G8" s="11">
        <f>IF($B8="Aporte",$E8,"")</f>
        <v/>
      </c>
      <c r="H8" s="11">
        <f>IF($B8="Despesa/Custo",$E8,"")</f>
        <v/>
      </c>
      <c r="I8" s="11">
        <f>IF($B8="Despesa/Custo",SUMIFS(Pagamentos!$D:$D,Pagamentos!$F:$F,$A8),"")</f>
        <v/>
      </c>
      <c r="J8" s="11">
        <f>IF($B8="Despesa/Custo",$H8-$I8,"")</f>
        <v/>
      </c>
      <c r="K8" s="4" t="n"/>
      <c r="L8" s="4" t="n"/>
      <c r="M8" s="4">
        <f>IF($B8="","",Base_Dados!$B$2)</f>
        <v/>
      </c>
    </row>
    <row r="9">
      <c r="A9" s="4">
        <f>IF($B9="","","FIN-"&amp;TEXT(ROW()-1,"0000"))</f>
        <v/>
      </c>
      <c r="B9" s="4" t="n"/>
      <c r="C9" s="5" t="n"/>
      <c r="D9" s="4" t="n"/>
      <c r="E9" s="10" t="n"/>
      <c r="F9" s="9">
        <f>IF($B9="","",IF($B9="Aporte","Entrada",IF($B9="Outras Entradas","Entrada",IF($B9="Outras Saídas","Saída","Custo (Caixa só no Pagamento)"))))</f>
        <v/>
      </c>
      <c r="G9" s="11">
        <f>IF($B9="Aporte",$E9,"")</f>
        <v/>
      </c>
      <c r="H9" s="11">
        <f>IF($B9="Despesa/Custo",$E9,"")</f>
        <v/>
      </c>
      <c r="I9" s="11">
        <f>IF($B9="Despesa/Custo",SUMIFS(Pagamentos!$D:$D,Pagamentos!$F:$F,$A9),"")</f>
        <v/>
      </c>
      <c r="J9" s="11">
        <f>IF($B9="Despesa/Custo",$H9-$I9,"")</f>
        <v/>
      </c>
      <c r="K9" s="4" t="n"/>
      <c r="L9" s="4" t="n"/>
      <c r="M9" s="4">
        <f>IF($B9="","",Base_Dados!$B$2)</f>
        <v/>
      </c>
    </row>
    <row r="10">
      <c r="A10" s="4">
        <f>IF($B10="","","FIN-"&amp;TEXT(ROW()-1,"0000"))</f>
        <v/>
      </c>
      <c r="B10" s="4" t="n"/>
      <c r="C10" s="5" t="n"/>
      <c r="D10" s="4" t="n"/>
      <c r="E10" s="10" t="n"/>
      <c r="F10" s="9">
        <f>IF($B10="","",IF($B10="Aporte","Entrada",IF($B10="Outras Entradas","Entrada",IF($B10="Outras Saídas","Saída","Custo (Caixa só no Pagamento)"))))</f>
        <v/>
      </c>
      <c r="G10" s="11">
        <f>IF($B10="Aporte",$E10,"")</f>
        <v/>
      </c>
      <c r="H10" s="11">
        <f>IF($B10="Despesa/Custo",$E10,"")</f>
        <v/>
      </c>
      <c r="I10" s="11">
        <f>IF($B10="Despesa/Custo",SUMIFS(Pagamentos!$D:$D,Pagamentos!$F:$F,$A10),"")</f>
        <v/>
      </c>
      <c r="J10" s="11">
        <f>IF($B10="Despesa/Custo",$H10-$I10,"")</f>
        <v/>
      </c>
      <c r="K10" s="4" t="n"/>
      <c r="L10" s="4" t="n"/>
      <c r="M10" s="4">
        <f>IF($B10="","",Base_Dados!$B$2)</f>
        <v/>
      </c>
    </row>
    <row r="11">
      <c r="A11" s="4">
        <f>IF($B11="","","FIN-"&amp;TEXT(ROW()-1,"0000"))</f>
        <v/>
      </c>
      <c r="B11" s="4" t="n"/>
      <c r="C11" s="5" t="n"/>
      <c r="D11" s="4" t="n"/>
      <c r="E11" s="10" t="n"/>
      <c r="F11" s="9">
        <f>IF($B11="","",IF($B11="Aporte","Entrada",IF($B11="Outras Entradas","Entrada",IF($B11="Outras Saídas","Saída","Custo (Caixa só no Pagamento)"))))</f>
        <v/>
      </c>
      <c r="G11" s="11">
        <f>IF($B11="Aporte",$E11,"")</f>
        <v/>
      </c>
      <c r="H11" s="11">
        <f>IF($B11="Despesa/Custo",$E11,"")</f>
        <v/>
      </c>
      <c r="I11" s="11">
        <f>IF($B11="Despesa/Custo",SUMIFS(Pagamentos!$D:$D,Pagamentos!$F:$F,$A11),"")</f>
        <v/>
      </c>
      <c r="J11" s="11">
        <f>IF($B11="Despesa/Custo",$H11-$I11,"")</f>
        <v/>
      </c>
      <c r="K11" s="4" t="n"/>
      <c r="L11" s="4" t="n"/>
      <c r="M11" s="4">
        <f>IF($B11="","",Base_Dados!$B$2)</f>
        <v/>
      </c>
    </row>
    <row r="12">
      <c r="A12" s="4">
        <f>IF($B12="","","FIN-"&amp;TEXT(ROW()-1,"0000"))</f>
        <v/>
      </c>
      <c r="B12" s="4" t="n"/>
      <c r="C12" s="5" t="n"/>
      <c r="D12" s="4" t="n"/>
      <c r="E12" s="10" t="n"/>
      <c r="F12" s="9">
        <f>IF($B12="","",IF($B12="Aporte","Entrada",IF($B12="Outras Entradas","Entrada",IF($B12="Outras Saídas","Saída","Custo (Caixa só no Pagamento)"))))</f>
        <v/>
      </c>
      <c r="G12" s="11">
        <f>IF($B12="Aporte",$E12,"")</f>
        <v/>
      </c>
      <c r="H12" s="11">
        <f>IF($B12="Despesa/Custo",$E12,"")</f>
        <v/>
      </c>
      <c r="I12" s="11">
        <f>IF($B12="Despesa/Custo",SUMIFS(Pagamentos!$D:$D,Pagamentos!$F:$F,$A12),"")</f>
        <v/>
      </c>
      <c r="J12" s="11">
        <f>IF($B12="Despesa/Custo",$H12-$I12,"")</f>
        <v/>
      </c>
      <c r="K12" s="4" t="n"/>
      <c r="L12" s="4" t="n"/>
      <c r="M12" s="4">
        <f>IF($B12="","",Base_Dados!$B$2)</f>
        <v/>
      </c>
    </row>
    <row r="13">
      <c r="A13" s="4">
        <f>IF($B13="","","FIN-"&amp;TEXT(ROW()-1,"0000"))</f>
        <v/>
      </c>
      <c r="B13" s="4" t="n"/>
      <c r="C13" s="5" t="n"/>
      <c r="D13" s="4" t="n"/>
      <c r="E13" s="10" t="n"/>
      <c r="F13" s="9">
        <f>IF($B13="","",IF($B13="Aporte","Entrada",IF($B13="Outras Entradas","Entrada",IF($B13="Outras Saídas","Saída","Custo (Caixa só no Pagamento)"))))</f>
        <v/>
      </c>
      <c r="G13" s="11">
        <f>IF($B13="Aporte",$E13,"")</f>
        <v/>
      </c>
      <c r="H13" s="11">
        <f>IF($B13="Despesa/Custo",$E13,"")</f>
        <v/>
      </c>
      <c r="I13" s="11">
        <f>IF($B13="Despesa/Custo",SUMIFS(Pagamentos!$D:$D,Pagamentos!$F:$F,$A13),"")</f>
        <v/>
      </c>
      <c r="J13" s="11">
        <f>IF($B13="Despesa/Custo",$H13-$I13,"")</f>
        <v/>
      </c>
      <c r="K13" s="4" t="n"/>
      <c r="L13" s="4" t="n"/>
      <c r="M13" s="4">
        <f>IF($B13="","",Base_Dados!$B$2)</f>
        <v/>
      </c>
    </row>
    <row r="14">
      <c r="A14" s="4">
        <f>IF($B14="","","FIN-"&amp;TEXT(ROW()-1,"0000"))</f>
        <v/>
      </c>
      <c r="B14" s="4" t="n"/>
      <c r="C14" s="5" t="n"/>
      <c r="D14" s="4" t="n"/>
      <c r="E14" s="10" t="n"/>
      <c r="F14" s="9">
        <f>IF($B14="","",IF($B14="Aporte","Entrada",IF($B14="Outras Entradas","Entrada",IF($B14="Outras Saídas","Saída","Custo (Caixa só no Pagamento)"))))</f>
        <v/>
      </c>
      <c r="G14" s="11">
        <f>IF($B14="Aporte",$E14,"")</f>
        <v/>
      </c>
      <c r="H14" s="11">
        <f>IF($B14="Despesa/Custo",$E14,"")</f>
        <v/>
      </c>
      <c r="I14" s="11">
        <f>IF($B14="Despesa/Custo",SUMIFS(Pagamentos!$D:$D,Pagamentos!$F:$F,$A14),"")</f>
        <v/>
      </c>
      <c r="J14" s="11">
        <f>IF($B14="Despesa/Custo",$H14-$I14,"")</f>
        <v/>
      </c>
      <c r="K14" s="4" t="n"/>
      <c r="L14" s="4" t="n"/>
      <c r="M14" s="4">
        <f>IF($B14="","",Base_Dados!$B$2)</f>
        <v/>
      </c>
    </row>
    <row r="15">
      <c r="A15" s="4">
        <f>IF($B15="","","FIN-"&amp;TEXT(ROW()-1,"0000"))</f>
        <v/>
      </c>
      <c r="B15" s="4" t="n"/>
      <c r="C15" s="5" t="n"/>
      <c r="D15" s="4" t="n"/>
      <c r="E15" s="10" t="n"/>
      <c r="F15" s="9">
        <f>IF($B15="","",IF($B15="Aporte","Entrada",IF($B15="Outras Entradas","Entrada",IF($B15="Outras Saídas","Saída","Custo (Caixa só no Pagamento)"))))</f>
        <v/>
      </c>
      <c r="G15" s="11">
        <f>IF($B15="Aporte",$E15,"")</f>
        <v/>
      </c>
      <c r="H15" s="11">
        <f>IF($B15="Despesa/Custo",$E15,"")</f>
        <v/>
      </c>
      <c r="I15" s="11">
        <f>IF($B15="Despesa/Custo",SUMIFS(Pagamentos!$D:$D,Pagamentos!$F:$F,$A15),"")</f>
        <v/>
      </c>
      <c r="J15" s="11">
        <f>IF($B15="Despesa/Custo",$H15-$I15,"")</f>
        <v/>
      </c>
      <c r="K15" s="4" t="n"/>
      <c r="L15" s="4" t="n"/>
      <c r="M15" s="4">
        <f>IF($B15="","",Base_Dados!$B$2)</f>
        <v/>
      </c>
    </row>
    <row r="16">
      <c r="A16" s="4">
        <f>IF($B16="","","FIN-"&amp;TEXT(ROW()-1,"0000"))</f>
        <v/>
      </c>
      <c r="B16" s="4" t="n"/>
      <c r="C16" s="5" t="n"/>
      <c r="D16" s="4" t="n"/>
      <c r="E16" s="10" t="n"/>
      <c r="F16" s="9">
        <f>IF($B16="","",IF($B16="Aporte","Entrada",IF($B16="Outras Entradas","Entrada",IF($B16="Outras Saídas","Saída","Custo (Caixa só no Pagamento)"))))</f>
        <v/>
      </c>
      <c r="G16" s="11">
        <f>IF($B16="Aporte",$E16,"")</f>
        <v/>
      </c>
      <c r="H16" s="11">
        <f>IF($B16="Despesa/Custo",$E16,"")</f>
        <v/>
      </c>
      <c r="I16" s="11">
        <f>IF($B16="Despesa/Custo",SUMIFS(Pagamentos!$D:$D,Pagamentos!$F:$F,$A16),"")</f>
        <v/>
      </c>
      <c r="J16" s="11">
        <f>IF($B16="Despesa/Custo",$H16-$I16,"")</f>
        <v/>
      </c>
      <c r="K16" s="4" t="n"/>
      <c r="L16" s="4" t="n"/>
      <c r="M16" s="4">
        <f>IF($B16="","",Base_Dados!$B$2)</f>
        <v/>
      </c>
    </row>
    <row r="17">
      <c r="A17" s="4">
        <f>IF($B17="","","FIN-"&amp;TEXT(ROW()-1,"0000"))</f>
        <v/>
      </c>
      <c r="B17" s="4" t="n"/>
      <c r="C17" s="5" t="n"/>
      <c r="D17" s="4" t="n"/>
      <c r="E17" s="10" t="n"/>
      <c r="F17" s="9">
        <f>IF($B17="","",IF($B17="Aporte","Entrada",IF($B17="Outras Entradas","Entrada",IF($B17="Outras Saídas","Saída","Custo (Caixa só no Pagamento)"))))</f>
        <v/>
      </c>
      <c r="G17" s="11">
        <f>IF($B17="Aporte",$E17,"")</f>
        <v/>
      </c>
      <c r="H17" s="11">
        <f>IF($B17="Despesa/Custo",$E17,"")</f>
        <v/>
      </c>
      <c r="I17" s="11">
        <f>IF($B17="Despesa/Custo",SUMIFS(Pagamentos!$D:$D,Pagamentos!$F:$F,$A17),"")</f>
        <v/>
      </c>
      <c r="J17" s="11">
        <f>IF($B17="Despesa/Custo",$H17-$I17,"")</f>
        <v/>
      </c>
      <c r="K17" s="4" t="n"/>
      <c r="L17" s="4" t="n"/>
      <c r="M17" s="4">
        <f>IF($B17="","",Base_Dados!$B$2)</f>
        <v/>
      </c>
    </row>
    <row r="18">
      <c r="A18" s="4">
        <f>IF($B18="","","FIN-"&amp;TEXT(ROW()-1,"0000"))</f>
        <v/>
      </c>
      <c r="B18" s="4" t="n"/>
      <c r="C18" s="5" t="n"/>
      <c r="D18" s="4" t="n"/>
      <c r="E18" s="10" t="n"/>
      <c r="F18" s="9">
        <f>IF($B18="","",IF($B18="Aporte","Entrada",IF($B18="Outras Entradas","Entrada",IF($B18="Outras Saídas","Saída","Custo (Caixa só no Pagamento)"))))</f>
        <v/>
      </c>
      <c r="G18" s="11">
        <f>IF($B18="Aporte",$E18,"")</f>
        <v/>
      </c>
      <c r="H18" s="11">
        <f>IF($B18="Despesa/Custo",$E18,"")</f>
        <v/>
      </c>
      <c r="I18" s="11">
        <f>IF($B18="Despesa/Custo",SUMIFS(Pagamentos!$D:$D,Pagamentos!$F:$F,$A18),"")</f>
        <v/>
      </c>
      <c r="J18" s="11">
        <f>IF($B18="Despesa/Custo",$H18-$I18,"")</f>
        <v/>
      </c>
      <c r="K18" s="4" t="n"/>
      <c r="L18" s="4" t="n"/>
      <c r="M18" s="4">
        <f>IF($B18="","",Base_Dados!$B$2)</f>
        <v/>
      </c>
    </row>
    <row r="19">
      <c r="A19" s="4">
        <f>IF($B19="","","FIN-"&amp;TEXT(ROW()-1,"0000"))</f>
        <v/>
      </c>
      <c r="B19" s="4" t="n"/>
      <c r="C19" s="5" t="n"/>
      <c r="D19" s="4" t="n"/>
      <c r="E19" s="10" t="n"/>
      <c r="F19" s="9">
        <f>IF($B19="","",IF($B19="Aporte","Entrada",IF($B19="Outras Entradas","Entrada",IF($B19="Outras Saídas","Saída","Custo (Caixa só no Pagamento)"))))</f>
        <v/>
      </c>
      <c r="G19" s="11">
        <f>IF($B19="Aporte",$E19,"")</f>
        <v/>
      </c>
      <c r="H19" s="11">
        <f>IF($B19="Despesa/Custo",$E19,"")</f>
        <v/>
      </c>
      <c r="I19" s="11">
        <f>IF($B19="Despesa/Custo",SUMIFS(Pagamentos!$D:$D,Pagamentos!$F:$F,$A19),"")</f>
        <v/>
      </c>
      <c r="J19" s="11">
        <f>IF($B19="Despesa/Custo",$H19-$I19,"")</f>
        <v/>
      </c>
      <c r="K19" s="4" t="n"/>
      <c r="L19" s="4" t="n"/>
      <c r="M19" s="4">
        <f>IF($B19="","",Base_Dados!$B$2)</f>
        <v/>
      </c>
    </row>
    <row r="20">
      <c r="A20" s="4">
        <f>IF($B20="","","FIN-"&amp;TEXT(ROW()-1,"0000"))</f>
        <v/>
      </c>
      <c r="B20" s="4" t="n"/>
      <c r="C20" s="5" t="n"/>
      <c r="D20" s="4" t="n"/>
      <c r="E20" s="10" t="n"/>
      <c r="F20" s="9">
        <f>IF($B20="","",IF($B20="Aporte","Entrada",IF($B20="Outras Entradas","Entrada",IF($B20="Outras Saídas","Saída","Custo (Caixa só no Pagamento)"))))</f>
        <v/>
      </c>
      <c r="G20" s="11">
        <f>IF($B20="Aporte",$E20,"")</f>
        <v/>
      </c>
      <c r="H20" s="11">
        <f>IF($B20="Despesa/Custo",$E20,"")</f>
        <v/>
      </c>
      <c r="I20" s="11">
        <f>IF($B20="Despesa/Custo",SUMIFS(Pagamentos!$D:$D,Pagamentos!$F:$F,$A20),"")</f>
        <v/>
      </c>
      <c r="J20" s="11">
        <f>IF($B20="Despesa/Custo",$H20-$I20,"")</f>
        <v/>
      </c>
      <c r="K20" s="4" t="n"/>
      <c r="L20" s="4" t="n"/>
      <c r="M20" s="4">
        <f>IF($B20="","",Base_Dados!$B$2)</f>
        <v/>
      </c>
    </row>
    <row r="21">
      <c r="A21" s="4">
        <f>IF($B21="","","FIN-"&amp;TEXT(ROW()-1,"0000"))</f>
        <v/>
      </c>
      <c r="B21" s="4" t="n"/>
      <c r="C21" s="5" t="n"/>
      <c r="D21" s="4" t="n"/>
      <c r="E21" s="10" t="n"/>
      <c r="F21" s="9">
        <f>IF($B21="","",IF($B21="Aporte","Entrada",IF($B21="Outras Entradas","Entrada",IF($B21="Outras Saídas","Saída","Custo (Caixa só no Pagamento)"))))</f>
        <v/>
      </c>
      <c r="G21" s="11">
        <f>IF($B21="Aporte",$E21,"")</f>
        <v/>
      </c>
      <c r="H21" s="11">
        <f>IF($B21="Despesa/Custo",$E21,"")</f>
        <v/>
      </c>
      <c r="I21" s="11">
        <f>IF($B21="Despesa/Custo",SUMIFS(Pagamentos!$D:$D,Pagamentos!$F:$F,$A21),"")</f>
        <v/>
      </c>
      <c r="J21" s="11">
        <f>IF($B21="Despesa/Custo",$H21-$I21,"")</f>
        <v/>
      </c>
      <c r="K21" s="4" t="n"/>
      <c r="L21" s="4" t="n"/>
      <c r="M21" s="4">
        <f>IF($B21="","",Base_Dados!$B$2)</f>
        <v/>
      </c>
    </row>
    <row r="22">
      <c r="A22" s="4">
        <f>IF($B22="","","FIN-"&amp;TEXT(ROW()-1,"0000"))</f>
        <v/>
      </c>
      <c r="B22" s="4" t="n"/>
      <c r="C22" s="5" t="n"/>
      <c r="D22" s="4" t="n"/>
      <c r="E22" s="10" t="n"/>
      <c r="F22" s="9">
        <f>IF($B22="","",IF($B22="Aporte","Entrada",IF($B22="Outras Entradas","Entrada",IF($B22="Outras Saídas","Saída","Custo (Caixa só no Pagamento)"))))</f>
        <v/>
      </c>
      <c r="G22" s="11">
        <f>IF($B22="Aporte",$E22,"")</f>
        <v/>
      </c>
      <c r="H22" s="11">
        <f>IF($B22="Despesa/Custo",$E22,"")</f>
        <v/>
      </c>
      <c r="I22" s="11">
        <f>IF($B22="Despesa/Custo",SUMIFS(Pagamentos!$D:$D,Pagamentos!$F:$F,$A22),"")</f>
        <v/>
      </c>
      <c r="J22" s="11">
        <f>IF($B22="Despesa/Custo",$H22-$I22,"")</f>
        <v/>
      </c>
      <c r="K22" s="4" t="n"/>
      <c r="L22" s="4" t="n"/>
      <c r="M22" s="4">
        <f>IF($B22="","",Base_Dados!$B$2)</f>
        <v/>
      </c>
    </row>
    <row r="23">
      <c r="A23" s="4">
        <f>IF($B23="","","FIN-"&amp;TEXT(ROW()-1,"0000"))</f>
        <v/>
      </c>
      <c r="B23" s="4" t="n"/>
      <c r="C23" s="5" t="n"/>
      <c r="D23" s="4" t="n"/>
      <c r="E23" s="10" t="n"/>
      <c r="F23" s="9">
        <f>IF($B23="","",IF($B23="Aporte","Entrada",IF($B23="Outras Entradas","Entrada",IF($B23="Outras Saídas","Saída","Custo (Caixa só no Pagamento)"))))</f>
        <v/>
      </c>
      <c r="G23" s="11">
        <f>IF($B23="Aporte",$E23,"")</f>
        <v/>
      </c>
      <c r="H23" s="11">
        <f>IF($B23="Despesa/Custo",$E23,"")</f>
        <v/>
      </c>
      <c r="I23" s="11">
        <f>IF($B23="Despesa/Custo",SUMIFS(Pagamentos!$D:$D,Pagamentos!$F:$F,$A23),"")</f>
        <v/>
      </c>
      <c r="J23" s="11">
        <f>IF($B23="Despesa/Custo",$H23-$I23,"")</f>
        <v/>
      </c>
      <c r="K23" s="4" t="n"/>
      <c r="L23" s="4" t="n"/>
      <c r="M23" s="4">
        <f>IF($B23="","",Base_Dados!$B$2)</f>
        <v/>
      </c>
    </row>
    <row r="24">
      <c r="A24" s="4">
        <f>IF($B24="","","FIN-"&amp;TEXT(ROW()-1,"0000"))</f>
        <v/>
      </c>
      <c r="B24" s="4" t="n"/>
      <c r="C24" s="5" t="n"/>
      <c r="D24" s="4" t="n"/>
      <c r="E24" s="10" t="n"/>
      <c r="F24" s="9">
        <f>IF($B24="","",IF($B24="Aporte","Entrada",IF($B24="Outras Entradas","Entrada",IF($B24="Outras Saídas","Saída","Custo (Caixa só no Pagamento)"))))</f>
        <v/>
      </c>
      <c r="G24" s="11">
        <f>IF($B24="Aporte",$E24,"")</f>
        <v/>
      </c>
      <c r="H24" s="11">
        <f>IF($B24="Despesa/Custo",$E24,"")</f>
        <v/>
      </c>
      <c r="I24" s="11">
        <f>IF($B24="Despesa/Custo",SUMIFS(Pagamentos!$D:$D,Pagamentos!$F:$F,$A24),"")</f>
        <v/>
      </c>
      <c r="J24" s="11">
        <f>IF($B24="Despesa/Custo",$H24-$I24,"")</f>
        <v/>
      </c>
      <c r="K24" s="4" t="n"/>
      <c r="L24" s="4" t="n"/>
      <c r="M24" s="4">
        <f>IF($B24="","",Base_Dados!$B$2)</f>
        <v/>
      </c>
    </row>
    <row r="25">
      <c r="A25" s="4">
        <f>IF($B25="","","FIN-"&amp;TEXT(ROW()-1,"0000"))</f>
        <v/>
      </c>
      <c r="B25" s="4" t="n"/>
      <c r="C25" s="5" t="n"/>
      <c r="D25" s="4" t="n"/>
      <c r="E25" s="10" t="n"/>
      <c r="F25" s="9">
        <f>IF($B25="","",IF($B25="Aporte","Entrada",IF($B25="Outras Entradas","Entrada",IF($B25="Outras Saídas","Saída","Custo (Caixa só no Pagamento)"))))</f>
        <v/>
      </c>
      <c r="G25" s="11">
        <f>IF($B25="Aporte",$E25,"")</f>
        <v/>
      </c>
      <c r="H25" s="11">
        <f>IF($B25="Despesa/Custo",$E25,"")</f>
        <v/>
      </c>
      <c r="I25" s="11">
        <f>IF($B25="Despesa/Custo",SUMIFS(Pagamentos!$D:$D,Pagamentos!$F:$F,$A25),"")</f>
        <v/>
      </c>
      <c r="J25" s="11">
        <f>IF($B25="Despesa/Custo",$H25-$I25,"")</f>
        <v/>
      </c>
      <c r="K25" s="4" t="n"/>
      <c r="L25" s="4" t="n"/>
      <c r="M25" s="4">
        <f>IF($B25="","",Base_Dados!$B$2)</f>
        <v/>
      </c>
    </row>
    <row r="26">
      <c r="A26" s="4">
        <f>IF($B26="","","FIN-"&amp;TEXT(ROW()-1,"0000"))</f>
        <v/>
      </c>
      <c r="B26" s="4" t="n"/>
      <c r="C26" s="5" t="n"/>
      <c r="D26" s="4" t="n"/>
      <c r="E26" s="10" t="n"/>
      <c r="F26" s="9">
        <f>IF($B26="","",IF($B26="Aporte","Entrada",IF($B26="Outras Entradas","Entrada",IF($B26="Outras Saídas","Saída","Custo (Caixa só no Pagamento)"))))</f>
        <v/>
      </c>
      <c r="G26" s="11">
        <f>IF($B26="Aporte",$E26,"")</f>
        <v/>
      </c>
      <c r="H26" s="11">
        <f>IF($B26="Despesa/Custo",$E26,"")</f>
        <v/>
      </c>
      <c r="I26" s="11">
        <f>IF($B26="Despesa/Custo",SUMIFS(Pagamentos!$D:$D,Pagamentos!$F:$F,$A26),"")</f>
        <v/>
      </c>
      <c r="J26" s="11">
        <f>IF($B26="Despesa/Custo",$H26-$I26,"")</f>
        <v/>
      </c>
      <c r="K26" s="4" t="n"/>
      <c r="L26" s="4" t="n"/>
      <c r="M26" s="4">
        <f>IF($B26="","",Base_Dados!$B$2)</f>
        <v/>
      </c>
    </row>
    <row r="27">
      <c r="A27" s="4">
        <f>IF($B27="","","FIN-"&amp;TEXT(ROW()-1,"0000"))</f>
        <v/>
      </c>
      <c r="B27" s="4" t="n"/>
      <c r="C27" s="5" t="n"/>
      <c r="D27" s="4" t="n"/>
      <c r="E27" s="10" t="n"/>
      <c r="F27" s="9">
        <f>IF($B27="","",IF($B27="Aporte","Entrada",IF($B27="Outras Entradas","Entrada",IF($B27="Outras Saídas","Saída","Custo (Caixa só no Pagamento)"))))</f>
        <v/>
      </c>
      <c r="G27" s="11">
        <f>IF($B27="Aporte",$E27,"")</f>
        <v/>
      </c>
      <c r="H27" s="11">
        <f>IF($B27="Despesa/Custo",$E27,"")</f>
        <v/>
      </c>
      <c r="I27" s="11">
        <f>IF($B27="Despesa/Custo",SUMIFS(Pagamentos!$D:$D,Pagamentos!$F:$F,$A27),"")</f>
        <v/>
      </c>
      <c r="J27" s="11">
        <f>IF($B27="Despesa/Custo",$H27-$I27,"")</f>
        <v/>
      </c>
      <c r="K27" s="4" t="n"/>
      <c r="L27" s="4" t="n"/>
      <c r="M27" s="4">
        <f>IF($B27="","",Base_Dados!$B$2)</f>
        <v/>
      </c>
    </row>
    <row r="28">
      <c r="A28" s="4">
        <f>IF($B28="","","FIN-"&amp;TEXT(ROW()-1,"0000"))</f>
        <v/>
      </c>
      <c r="B28" s="4" t="n"/>
      <c r="C28" s="5" t="n"/>
      <c r="D28" s="4" t="n"/>
      <c r="E28" s="10" t="n"/>
      <c r="F28" s="9">
        <f>IF($B28="","",IF($B28="Aporte","Entrada",IF($B28="Outras Entradas","Entrada",IF($B28="Outras Saídas","Saída","Custo (Caixa só no Pagamento)"))))</f>
        <v/>
      </c>
      <c r="G28" s="11">
        <f>IF($B28="Aporte",$E28,"")</f>
        <v/>
      </c>
      <c r="H28" s="11">
        <f>IF($B28="Despesa/Custo",$E28,"")</f>
        <v/>
      </c>
      <c r="I28" s="11">
        <f>IF($B28="Despesa/Custo",SUMIFS(Pagamentos!$D:$D,Pagamentos!$F:$F,$A28),"")</f>
        <v/>
      </c>
      <c r="J28" s="11">
        <f>IF($B28="Despesa/Custo",$H28-$I28,"")</f>
        <v/>
      </c>
      <c r="K28" s="4" t="n"/>
      <c r="L28" s="4" t="n"/>
      <c r="M28" s="4">
        <f>IF($B28="","",Base_Dados!$B$2)</f>
        <v/>
      </c>
    </row>
    <row r="29">
      <c r="A29" s="4">
        <f>IF($B29="","","FIN-"&amp;TEXT(ROW()-1,"0000"))</f>
        <v/>
      </c>
      <c r="B29" s="4" t="n"/>
      <c r="C29" s="5" t="n"/>
      <c r="D29" s="4" t="n"/>
      <c r="E29" s="10" t="n"/>
      <c r="F29" s="9">
        <f>IF($B29="","",IF($B29="Aporte","Entrada",IF($B29="Outras Entradas","Entrada",IF($B29="Outras Saídas","Saída","Custo (Caixa só no Pagamento)"))))</f>
        <v/>
      </c>
      <c r="G29" s="11">
        <f>IF($B29="Aporte",$E29,"")</f>
        <v/>
      </c>
      <c r="H29" s="11">
        <f>IF($B29="Despesa/Custo",$E29,"")</f>
        <v/>
      </c>
      <c r="I29" s="11">
        <f>IF($B29="Despesa/Custo",SUMIFS(Pagamentos!$D:$D,Pagamentos!$F:$F,$A29),"")</f>
        <v/>
      </c>
      <c r="J29" s="11">
        <f>IF($B29="Despesa/Custo",$H29-$I29,"")</f>
        <v/>
      </c>
      <c r="K29" s="4" t="n"/>
      <c r="L29" s="4" t="n"/>
      <c r="M29" s="4">
        <f>IF($B29="","",Base_Dados!$B$2)</f>
        <v/>
      </c>
    </row>
    <row r="30">
      <c r="A30" s="4">
        <f>IF($B30="","","FIN-"&amp;TEXT(ROW()-1,"0000"))</f>
        <v/>
      </c>
      <c r="B30" s="4" t="n"/>
      <c r="C30" s="5" t="n"/>
      <c r="D30" s="4" t="n"/>
      <c r="E30" s="10" t="n"/>
      <c r="F30" s="9">
        <f>IF($B30="","",IF($B30="Aporte","Entrada",IF($B30="Outras Entradas","Entrada",IF($B30="Outras Saídas","Saída","Custo (Caixa só no Pagamento)"))))</f>
        <v/>
      </c>
      <c r="G30" s="11">
        <f>IF($B30="Aporte",$E30,"")</f>
        <v/>
      </c>
      <c r="H30" s="11">
        <f>IF($B30="Despesa/Custo",$E30,"")</f>
        <v/>
      </c>
      <c r="I30" s="11">
        <f>IF($B30="Despesa/Custo",SUMIFS(Pagamentos!$D:$D,Pagamentos!$F:$F,$A30),"")</f>
        <v/>
      </c>
      <c r="J30" s="11">
        <f>IF($B30="Despesa/Custo",$H30-$I30,"")</f>
        <v/>
      </c>
      <c r="K30" s="4" t="n"/>
      <c r="L30" s="4" t="n"/>
      <c r="M30" s="4">
        <f>IF($B30="","",Base_Dados!$B$2)</f>
        <v/>
      </c>
    </row>
    <row r="31">
      <c r="A31" s="4">
        <f>IF($B31="","","FIN-"&amp;TEXT(ROW()-1,"0000"))</f>
        <v/>
      </c>
      <c r="B31" s="4" t="n"/>
      <c r="C31" s="5" t="n"/>
      <c r="D31" s="4" t="n"/>
      <c r="E31" s="10" t="n"/>
      <c r="F31" s="9">
        <f>IF($B31="","",IF($B31="Aporte","Entrada",IF($B31="Outras Entradas","Entrada",IF($B31="Outras Saídas","Saída","Custo (Caixa só no Pagamento)"))))</f>
        <v/>
      </c>
      <c r="G31" s="11">
        <f>IF($B31="Aporte",$E31,"")</f>
        <v/>
      </c>
      <c r="H31" s="11">
        <f>IF($B31="Despesa/Custo",$E31,"")</f>
        <v/>
      </c>
      <c r="I31" s="11">
        <f>IF($B31="Despesa/Custo",SUMIFS(Pagamentos!$D:$D,Pagamentos!$F:$F,$A31),"")</f>
        <v/>
      </c>
      <c r="J31" s="11">
        <f>IF($B31="Despesa/Custo",$H31-$I31,"")</f>
        <v/>
      </c>
      <c r="K31" s="4" t="n"/>
      <c r="L31" s="4" t="n"/>
      <c r="M31" s="4">
        <f>IF($B31="","",Base_Dados!$B$2)</f>
        <v/>
      </c>
    </row>
  </sheetData>
  <autoFilter ref="A1:M31"/>
  <dataValidations count="2">
    <dataValidation sqref="B2:B31" showDropDown="0" showInputMessage="0" showErrorMessage="1" allowBlank="1" errorTitle="Tipo inválido" error="Selecione um dos tipos oficiais: Aporte, Outras Entradas, Despesa/Custo, Outras Saídas." type="list">
      <formula1>"Aporte,Outras Entradas,Despesa/Custo,Outras Saídas"</formula1>
    </dataValidation>
    <dataValidation sqref="E2:E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34" customWidth="1" min="2" max="2"/>
    <col width="16" customWidth="1" min="3" max="3"/>
    <col width="16" customWidth="1" min="4" max="4"/>
    <col width="30" customWidth="1" min="5" max="5"/>
    <col hidden="1" width="18" customWidth="1" min="6" max="6"/>
  </cols>
  <sheetData>
    <row r="1" ht="30" customHeight="1">
      <c r="A1" s="7" t="inlineStr">
        <is>
          <t>ID (técnico)</t>
        </is>
      </c>
      <c r="B1" s="7" t="inlineStr">
        <is>
          <t>Lançamento (Despesa/Custo)</t>
        </is>
      </c>
      <c r="C1" s="7" t="inlineStr">
        <is>
          <t>Data do Pagamento</t>
        </is>
      </c>
      <c r="D1" s="7" t="inlineStr">
        <is>
          <t>Valor Pago</t>
        </is>
      </c>
      <c r="E1" s="7" t="inlineStr">
        <is>
          <t>Observação</t>
        </is>
      </c>
      <c r="F1" s="7" t="inlineStr">
        <is>
          <t>ID_Financeiro (técnico)</t>
        </is>
      </c>
    </row>
    <row r="2">
      <c r="A2" s="4">
        <f>IF($B2="","","PGT-"&amp;TEXT(ROW()-1,"0000"))</f>
        <v/>
      </c>
      <c r="B2" s="4" t="n"/>
      <c r="C2" s="5" t="n"/>
      <c r="D2" s="10" t="n"/>
      <c r="E2" s="4" t="n"/>
      <c r="F2" s="4">
        <f>IF($B2="","",INDEX(Financeiro!$A:$A,MATCH($B2,Financeiro!$D:$D,0)))</f>
        <v/>
      </c>
    </row>
    <row r="3">
      <c r="A3" s="4">
        <f>IF($B3="","","PGT-"&amp;TEXT(ROW()-1,"0000"))</f>
        <v/>
      </c>
      <c r="B3" s="4" t="n"/>
      <c r="C3" s="5" t="n"/>
      <c r="D3" s="10" t="n"/>
      <c r="E3" s="4" t="n"/>
      <c r="F3" s="4">
        <f>IF($B3="","",INDEX(Financeiro!$A:$A,MATCH($B3,Financeiro!$D:$D,0)))</f>
        <v/>
      </c>
    </row>
    <row r="4">
      <c r="A4" s="4">
        <f>IF($B4="","","PGT-"&amp;TEXT(ROW()-1,"0000"))</f>
        <v/>
      </c>
      <c r="B4" s="4" t="n"/>
      <c r="C4" s="5" t="n"/>
      <c r="D4" s="10" t="n"/>
      <c r="E4" s="4" t="n"/>
      <c r="F4" s="4">
        <f>IF($B4="","",INDEX(Financeiro!$A:$A,MATCH($B4,Financeiro!$D:$D,0)))</f>
        <v/>
      </c>
    </row>
    <row r="5">
      <c r="A5" s="4">
        <f>IF($B5="","","PGT-"&amp;TEXT(ROW()-1,"0000"))</f>
        <v/>
      </c>
      <c r="B5" s="4" t="n"/>
      <c r="C5" s="5" t="n"/>
      <c r="D5" s="10" t="n"/>
      <c r="E5" s="4" t="n"/>
      <c r="F5" s="4">
        <f>IF($B5="","",INDEX(Financeiro!$A:$A,MATCH($B5,Financeiro!$D:$D,0)))</f>
        <v/>
      </c>
    </row>
    <row r="6">
      <c r="A6" s="4">
        <f>IF($B6="","","PGT-"&amp;TEXT(ROW()-1,"0000"))</f>
        <v/>
      </c>
      <c r="B6" s="4" t="n"/>
      <c r="C6" s="5" t="n"/>
      <c r="D6" s="10" t="n"/>
      <c r="E6" s="4" t="n"/>
      <c r="F6" s="4">
        <f>IF($B6="","",INDEX(Financeiro!$A:$A,MATCH($B6,Financeiro!$D:$D,0)))</f>
        <v/>
      </c>
    </row>
    <row r="7">
      <c r="A7" s="4">
        <f>IF($B7="","","PGT-"&amp;TEXT(ROW()-1,"0000"))</f>
        <v/>
      </c>
      <c r="B7" s="4" t="n"/>
      <c r="C7" s="5" t="n"/>
      <c r="D7" s="10" t="n"/>
      <c r="E7" s="4" t="n"/>
      <c r="F7" s="4">
        <f>IF($B7="","",INDEX(Financeiro!$A:$A,MATCH($B7,Financeiro!$D:$D,0)))</f>
        <v/>
      </c>
    </row>
    <row r="8">
      <c r="A8" s="4">
        <f>IF($B8="","","PGT-"&amp;TEXT(ROW()-1,"0000"))</f>
        <v/>
      </c>
      <c r="B8" s="4" t="n"/>
      <c r="C8" s="5" t="n"/>
      <c r="D8" s="10" t="n"/>
      <c r="E8" s="4" t="n"/>
      <c r="F8" s="4">
        <f>IF($B8="","",INDEX(Financeiro!$A:$A,MATCH($B8,Financeiro!$D:$D,0)))</f>
        <v/>
      </c>
    </row>
    <row r="9">
      <c r="A9" s="4">
        <f>IF($B9="","","PGT-"&amp;TEXT(ROW()-1,"0000"))</f>
        <v/>
      </c>
      <c r="B9" s="4" t="n"/>
      <c r="C9" s="5" t="n"/>
      <c r="D9" s="10" t="n"/>
      <c r="E9" s="4" t="n"/>
      <c r="F9" s="4">
        <f>IF($B9="","",INDEX(Financeiro!$A:$A,MATCH($B9,Financeiro!$D:$D,0)))</f>
        <v/>
      </c>
    </row>
    <row r="10">
      <c r="A10" s="4">
        <f>IF($B10="","","PGT-"&amp;TEXT(ROW()-1,"0000"))</f>
        <v/>
      </c>
      <c r="B10" s="4" t="n"/>
      <c r="C10" s="5" t="n"/>
      <c r="D10" s="10" t="n"/>
      <c r="E10" s="4" t="n"/>
      <c r="F10" s="4">
        <f>IF($B10="","",INDEX(Financeiro!$A:$A,MATCH($B10,Financeiro!$D:$D,0)))</f>
        <v/>
      </c>
    </row>
    <row r="11">
      <c r="A11" s="4">
        <f>IF($B11="","","PGT-"&amp;TEXT(ROW()-1,"0000"))</f>
        <v/>
      </c>
      <c r="B11" s="4" t="n"/>
      <c r="C11" s="5" t="n"/>
      <c r="D11" s="10" t="n"/>
      <c r="E11" s="4" t="n"/>
      <c r="F11" s="4">
        <f>IF($B11="","",INDEX(Financeiro!$A:$A,MATCH($B11,Financeiro!$D:$D,0)))</f>
        <v/>
      </c>
    </row>
    <row r="12">
      <c r="A12" s="4">
        <f>IF($B12="","","PGT-"&amp;TEXT(ROW()-1,"0000"))</f>
        <v/>
      </c>
      <c r="B12" s="4" t="n"/>
      <c r="C12" s="5" t="n"/>
      <c r="D12" s="10" t="n"/>
      <c r="E12" s="4" t="n"/>
      <c r="F12" s="4">
        <f>IF($B12="","",INDEX(Financeiro!$A:$A,MATCH($B12,Financeiro!$D:$D,0)))</f>
        <v/>
      </c>
    </row>
    <row r="13">
      <c r="A13" s="4">
        <f>IF($B13="","","PGT-"&amp;TEXT(ROW()-1,"0000"))</f>
        <v/>
      </c>
      <c r="B13" s="4" t="n"/>
      <c r="C13" s="5" t="n"/>
      <c r="D13" s="10" t="n"/>
      <c r="E13" s="4" t="n"/>
      <c r="F13" s="4">
        <f>IF($B13="","",INDEX(Financeiro!$A:$A,MATCH($B13,Financeiro!$D:$D,0)))</f>
        <v/>
      </c>
    </row>
    <row r="14">
      <c r="A14" s="4">
        <f>IF($B14="","","PGT-"&amp;TEXT(ROW()-1,"0000"))</f>
        <v/>
      </c>
      <c r="B14" s="4" t="n"/>
      <c r="C14" s="5" t="n"/>
      <c r="D14" s="10" t="n"/>
      <c r="E14" s="4" t="n"/>
      <c r="F14" s="4">
        <f>IF($B14="","",INDEX(Financeiro!$A:$A,MATCH($B14,Financeiro!$D:$D,0)))</f>
        <v/>
      </c>
    </row>
    <row r="15">
      <c r="A15" s="4">
        <f>IF($B15="","","PGT-"&amp;TEXT(ROW()-1,"0000"))</f>
        <v/>
      </c>
      <c r="B15" s="4" t="n"/>
      <c r="C15" s="5" t="n"/>
      <c r="D15" s="10" t="n"/>
      <c r="E15" s="4" t="n"/>
      <c r="F15" s="4">
        <f>IF($B15="","",INDEX(Financeiro!$A:$A,MATCH($B15,Financeiro!$D:$D,0)))</f>
        <v/>
      </c>
    </row>
    <row r="16">
      <c r="A16" s="4">
        <f>IF($B16="","","PGT-"&amp;TEXT(ROW()-1,"0000"))</f>
        <v/>
      </c>
      <c r="B16" s="4" t="n"/>
      <c r="C16" s="5" t="n"/>
      <c r="D16" s="10" t="n"/>
      <c r="E16" s="4" t="n"/>
      <c r="F16" s="4">
        <f>IF($B16="","",INDEX(Financeiro!$A:$A,MATCH($B16,Financeiro!$D:$D,0)))</f>
        <v/>
      </c>
    </row>
    <row r="17">
      <c r="A17" s="4">
        <f>IF($B17="","","PGT-"&amp;TEXT(ROW()-1,"0000"))</f>
        <v/>
      </c>
      <c r="B17" s="4" t="n"/>
      <c r="C17" s="5" t="n"/>
      <c r="D17" s="10" t="n"/>
      <c r="E17" s="4" t="n"/>
      <c r="F17" s="4">
        <f>IF($B17="","",INDEX(Financeiro!$A:$A,MATCH($B17,Financeiro!$D:$D,0)))</f>
        <v/>
      </c>
    </row>
    <row r="18">
      <c r="A18" s="4">
        <f>IF($B18="","","PGT-"&amp;TEXT(ROW()-1,"0000"))</f>
        <v/>
      </c>
      <c r="B18" s="4" t="n"/>
      <c r="C18" s="5" t="n"/>
      <c r="D18" s="10" t="n"/>
      <c r="E18" s="4" t="n"/>
      <c r="F18" s="4">
        <f>IF($B18="","",INDEX(Financeiro!$A:$A,MATCH($B18,Financeiro!$D:$D,0)))</f>
        <v/>
      </c>
    </row>
    <row r="19">
      <c r="A19" s="4">
        <f>IF($B19="","","PGT-"&amp;TEXT(ROW()-1,"0000"))</f>
        <v/>
      </c>
      <c r="B19" s="4" t="n"/>
      <c r="C19" s="5" t="n"/>
      <c r="D19" s="10" t="n"/>
      <c r="E19" s="4" t="n"/>
      <c r="F19" s="4">
        <f>IF($B19="","",INDEX(Financeiro!$A:$A,MATCH($B19,Financeiro!$D:$D,0)))</f>
        <v/>
      </c>
    </row>
    <row r="20">
      <c r="A20" s="4">
        <f>IF($B20="","","PGT-"&amp;TEXT(ROW()-1,"0000"))</f>
        <v/>
      </c>
      <c r="B20" s="4" t="n"/>
      <c r="C20" s="5" t="n"/>
      <c r="D20" s="10" t="n"/>
      <c r="E20" s="4" t="n"/>
      <c r="F20" s="4">
        <f>IF($B20="","",INDEX(Financeiro!$A:$A,MATCH($B20,Financeiro!$D:$D,0)))</f>
        <v/>
      </c>
    </row>
    <row r="21">
      <c r="A21" s="4">
        <f>IF($B21="","","PGT-"&amp;TEXT(ROW()-1,"0000"))</f>
        <v/>
      </c>
      <c r="B21" s="4" t="n"/>
      <c r="C21" s="5" t="n"/>
      <c r="D21" s="10" t="n"/>
      <c r="E21" s="4" t="n"/>
      <c r="F21" s="4">
        <f>IF($B21="","",INDEX(Financeiro!$A:$A,MATCH($B21,Financeiro!$D:$D,0)))</f>
        <v/>
      </c>
    </row>
    <row r="22">
      <c r="A22" s="4">
        <f>IF($B22="","","PGT-"&amp;TEXT(ROW()-1,"0000"))</f>
        <v/>
      </c>
      <c r="B22" s="4" t="n"/>
      <c r="C22" s="5" t="n"/>
      <c r="D22" s="10" t="n"/>
      <c r="E22" s="4" t="n"/>
      <c r="F22" s="4">
        <f>IF($B22="","",INDEX(Financeiro!$A:$A,MATCH($B22,Financeiro!$D:$D,0)))</f>
        <v/>
      </c>
    </row>
    <row r="23">
      <c r="A23" s="4">
        <f>IF($B23="","","PGT-"&amp;TEXT(ROW()-1,"0000"))</f>
        <v/>
      </c>
      <c r="B23" s="4" t="n"/>
      <c r="C23" s="5" t="n"/>
      <c r="D23" s="10" t="n"/>
      <c r="E23" s="4" t="n"/>
      <c r="F23" s="4">
        <f>IF($B23="","",INDEX(Financeiro!$A:$A,MATCH($B23,Financeiro!$D:$D,0)))</f>
        <v/>
      </c>
    </row>
    <row r="24">
      <c r="A24" s="4">
        <f>IF($B24="","","PGT-"&amp;TEXT(ROW()-1,"0000"))</f>
        <v/>
      </c>
      <c r="B24" s="4" t="n"/>
      <c r="C24" s="5" t="n"/>
      <c r="D24" s="10" t="n"/>
      <c r="E24" s="4" t="n"/>
      <c r="F24" s="4">
        <f>IF($B24="","",INDEX(Financeiro!$A:$A,MATCH($B24,Financeiro!$D:$D,0)))</f>
        <v/>
      </c>
    </row>
    <row r="25">
      <c r="A25" s="4">
        <f>IF($B25="","","PGT-"&amp;TEXT(ROW()-1,"0000"))</f>
        <v/>
      </c>
      <c r="B25" s="4" t="n"/>
      <c r="C25" s="5" t="n"/>
      <c r="D25" s="10" t="n"/>
      <c r="E25" s="4" t="n"/>
      <c r="F25" s="4">
        <f>IF($B25="","",INDEX(Financeiro!$A:$A,MATCH($B25,Financeiro!$D:$D,0)))</f>
        <v/>
      </c>
    </row>
    <row r="26">
      <c r="A26" s="4">
        <f>IF($B26="","","PGT-"&amp;TEXT(ROW()-1,"0000"))</f>
        <v/>
      </c>
      <c r="B26" s="4" t="n"/>
      <c r="C26" s="5" t="n"/>
      <c r="D26" s="10" t="n"/>
      <c r="E26" s="4" t="n"/>
      <c r="F26" s="4">
        <f>IF($B26="","",INDEX(Financeiro!$A:$A,MATCH($B26,Financeiro!$D:$D,0)))</f>
        <v/>
      </c>
    </row>
    <row r="27">
      <c r="A27" s="4">
        <f>IF($B27="","","PGT-"&amp;TEXT(ROW()-1,"0000"))</f>
        <v/>
      </c>
      <c r="B27" s="4" t="n"/>
      <c r="C27" s="5" t="n"/>
      <c r="D27" s="10" t="n"/>
      <c r="E27" s="4" t="n"/>
      <c r="F27" s="4">
        <f>IF($B27="","",INDEX(Financeiro!$A:$A,MATCH($B27,Financeiro!$D:$D,0)))</f>
        <v/>
      </c>
    </row>
    <row r="28">
      <c r="A28" s="4">
        <f>IF($B28="","","PGT-"&amp;TEXT(ROW()-1,"0000"))</f>
        <v/>
      </c>
      <c r="B28" s="4" t="n"/>
      <c r="C28" s="5" t="n"/>
      <c r="D28" s="10" t="n"/>
      <c r="E28" s="4" t="n"/>
      <c r="F28" s="4">
        <f>IF($B28="","",INDEX(Financeiro!$A:$A,MATCH($B28,Financeiro!$D:$D,0)))</f>
        <v/>
      </c>
    </row>
    <row r="29">
      <c r="A29" s="4">
        <f>IF($B29="","","PGT-"&amp;TEXT(ROW()-1,"0000"))</f>
        <v/>
      </c>
      <c r="B29" s="4" t="n"/>
      <c r="C29" s="5" t="n"/>
      <c r="D29" s="10" t="n"/>
      <c r="E29" s="4" t="n"/>
      <c r="F29" s="4">
        <f>IF($B29="","",INDEX(Financeiro!$A:$A,MATCH($B29,Financeiro!$D:$D,0)))</f>
        <v/>
      </c>
    </row>
    <row r="30">
      <c r="A30" s="4">
        <f>IF($B30="","","PGT-"&amp;TEXT(ROW()-1,"0000"))</f>
        <v/>
      </c>
      <c r="B30" s="4" t="n"/>
      <c r="C30" s="5" t="n"/>
      <c r="D30" s="10" t="n"/>
      <c r="E30" s="4" t="n"/>
      <c r="F30" s="4">
        <f>IF($B30="","",INDEX(Financeiro!$A:$A,MATCH($B30,Financeiro!$D:$D,0)))</f>
        <v/>
      </c>
    </row>
    <row r="31">
      <c r="A31" s="4">
        <f>IF($B31="","","PGT-"&amp;TEXT(ROW()-1,"0000"))</f>
        <v/>
      </c>
      <c r="B31" s="4" t="n"/>
      <c r="C31" s="5" t="n"/>
      <c r="D31" s="10" t="n"/>
      <c r="E31" s="4" t="n"/>
      <c r="F31" s="4">
        <f>IF($B31="","",INDEX(Financeiro!$A:$A,MATCH($B31,Financeiro!$D:$D,0)))</f>
        <v/>
      </c>
    </row>
  </sheetData>
  <autoFilter ref="A1:F31"/>
  <dataValidations count="2">
    <dataValidation sqref="B2:B31" showDropDown="0" showInputMessage="0" showErrorMessage="1" allowBlank="1" errorTitle="Lançamento inválido" error="Selecione um lançamento já cadastrado na aba Financeiro." type="list">
      <formula1>Lista_Financeiro_Descricoes</formula1>
    </dataValidation>
    <dataValidation sqref="D2:D31" showDropDown="0" showInputMessage="0" showErrorMessage="1" allowBlank="1" errorTitle="Valor inválido" error="Informe um número maior ou igual a zero.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24" customHeight="1">
      <c r="A1" s="12" t="inlineStr">
        <is>
          <t>Resumo Financeiro</t>
        </is>
      </c>
      <c r="B1" s="2" t="n"/>
    </row>
    <row r="2">
      <c r="A2" s="3" t="inlineStr">
        <is>
          <t>Orçamento Inicial (Previsto)</t>
        </is>
      </c>
      <c r="B2" s="11">
        <f>Início!$B$8</f>
        <v/>
      </c>
    </row>
    <row r="3">
      <c r="A3" s="3" t="inlineStr">
        <is>
          <t>Aportes</t>
        </is>
      </c>
      <c r="B3" s="11">
        <f>SUM(Financeiro!$G$2:$G$31)</f>
        <v/>
      </c>
    </row>
    <row r="4">
      <c r="A4" s="3" t="inlineStr">
        <is>
          <t>Orçamento Vigente</t>
        </is>
      </c>
      <c r="B4" s="11">
        <f>B2+B3</f>
        <v/>
      </c>
    </row>
    <row r="5">
      <c r="A5" s="3" t="inlineStr">
        <is>
          <t>Custo Realizado</t>
        </is>
      </c>
      <c r="B5" s="11">
        <f>SUM(Financeiro!$H$2:$H$31)</f>
        <v/>
      </c>
    </row>
    <row r="6">
      <c r="A6" s="3" t="inlineStr">
        <is>
          <t>Saldo Orçamentário</t>
        </is>
      </c>
      <c r="B6" s="11">
        <f>B4-B5</f>
        <v/>
      </c>
    </row>
    <row r="7">
      <c r="A7" s="3" t="inlineStr">
        <is>
          <t>% Orçamento Consumido</t>
        </is>
      </c>
      <c r="B7" s="13">
        <f>IF(B4=0,"N/D",B5/B4)</f>
        <v/>
      </c>
    </row>
    <row r="8">
      <c r="A8" s="3" t="inlineStr">
        <is>
          <t>Outras Entradas</t>
        </is>
      </c>
      <c r="B8" s="11">
        <f>SUMIF(Financeiro!$B$2:$B$31,"Outras Entradas",Financeiro!$E$2:$E$31)</f>
        <v/>
      </c>
    </row>
    <row r="9">
      <c r="A9" s="3" t="inlineStr">
        <is>
          <t>Outras Saídas</t>
        </is>
      </c>
      <c r="B9" s="11">
        <f>SUMIF(Financeiro!$B$2:$B$31,"Outras Saídas",Financeiro!$E$2:$E$31)</f>
        <v/>
      </c>
    </row>
    <row r="10">
      <c r="A10" s="3" t="inlineStr">
        <is>
          <t>Total de Entradas</t>
        </is>
      </c>
      <c r="B10" s="11">
        <f>B3+B8</f>
        <v/>
      </c>
    </row>
    <row r="11">
      <c r="A11" s="3" t="inlineStr">
        <is>
          <t>Total Pago</t>
        </is>
      </c>
      <c r="B11" s="11">
        <f>SUM(Financeiro!$I$2:$I$31)</f>
        <v/>
      </c>
    </row>
    <row r="12">
      <c r="A12" s="3" t="inlineStr">
        <is>
          <t>Total de Saídas</t>
        </is>
      </c>
      <c r="B12" s="11">
        <f>B11+B9</f>
        <v/>
      </c>
    </row>
    <row r="13">
      <c r="A13" s="3" t="inlineStr">
        <is>
          <t>Saldo de Caixa</t>
        </is>
      </c>
      <c r="B13" s="11">
        <f>B10-B12</f>
        <v/>
      </c>
    </row>
    <row r="14">
      <c r="A14" s="3" t="inlineStr">
        <is>
          <t>Total A Pagar</t>
        </is>
      </c>
      <c r="B14" s="11">
        <f>SUM(Financeiro!$J$2:$J$31)</f>
        <v/>
      </c>
    </row>
    <row r="15">
      <c r="A15" s="3" t="inlineStr">
        <is>
          <t>Estouro de Orçamento (indicador Operador-only)</t>
        </is>
      </c>
      <c r="B15" s="9">
        <f>IF(B6&lt;0,"SIM","NÃO")</f>
        <v/>
      </c>
    </row>
    <row r="17">
      <c r="A17" s="14" t="inlineStr">
        <is>
          <t>Nota: Alterações Aprovadas ainda não integradas (Seção 4) — Orçamento Vigente considera apenas Orçamento Inicial + Aportes.</t>
        </is>
      </c>
    </row>
    <row r="18">
      <c r="A18" s="14" t="inlineStr">
        <is>
          <t>Nota: 'Estouro de Orçamento' é Operador-only por especificação (Seções 29/30) — o mecanismo técnico de restrição por perfil ainda não existe (SEC_001, [H]).</t>
        </is>
      </c>
    </row>
  </sheetData>
  <mergeCells count="2">
    <mergeCell ref="A18:B18"/>
    <mergeCell ref="A17:B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2" t="inlineStr">
        <is>
          <t>Metadados internos — não editar</t>
        </is>
      </c>
      <c r="B1" s="2" t="n"/>
    </row>
    <row r="2">
      <c r="A2" s="3" t="inlineStr">
        <is>
          <t>ID da Obra (técnico)</t>
        </is>
      </c>
      <c r="B2" t="inlineStr">
        <is>
          <t>OBR-0001</t>
        </is>
      </c>
    </row>
    <row r="4">
      <c r="A4" s="3" t="inlineStr">
        <is>
          <t>Prefixos de ID técnico homologados (ver Etapa 1, Seção 7)</t>
        </is>
      </c>
    </row>
    <row r="5">
      <c r="A5" t="inlineStr">
        <is>
          <t>OBRAS</t>
        </is>
      </c>
      <c r="B5" t="inlineStr">
        <is>
          <t>OBR</t>
        </is>
      </c>
    </row>
    <row r="6">
      <c r="A6" t="inlineStr">
        <is>
          <t>ETAPAS</t>
        </is>
      </c>
      <c r="B6" t="inlineStr">
        <is>
          <t>ETA</t>
        </is>
      </c>
    </row>
    <row r="7">
      <c r="A7" t="inlineStr">
        <is>
          <t>SUBETAPAS</t>
        </is>
      </c>
      <c r="B7" t="inlineStr">
        <is>
          <t>SUB</t>
        </is>
      </c>
    </row>
    <row r="8">
      <c r="A8" t="inlineStr">
        <is>
          <t>SERVICOS_ORCAMENTO</t>
        </is>
      </c>
      <c r="B8" t="inlineStr">
        <is>
          <t>SRV</t>
        </is>
      </c>
    </row>
    <row r="9">
      <c r="A9" t="inlineStr">
        <is>
          <t>PLANEJAMENTO</t>
        </is>
      </c>
      <c r="B9" t="inlineStr">
        <is>
          <t>PLN</t>
        </is>
      </c>
    </row>
    <row r="10">
      <c r="A10" t="inlineStr">
        <is>
          <t>FORNECEDORES</t>
        </is>
      </c>
      <c r="B10" t="inlineStr">
        <is>
          <t>FOR</t>
        </is>
      </c>
    </row>
    <row r="11">
      <c r="A11" t="inlineStr">
        <is>
          <t>COMPRAS</t>
        </is>
      </c>
      <c r="B11" t="inlineStr">
        <is>
          <t>COM</t>
        </is>
      </c>
    </row>
    <row r="12">
      <c r="A12" t="inlineStr">
        <is>
          <t>FINANCEIRO</t>
        </is>
      </c>
      <c r="B12" t="inlineStr">
        <is>
          <t>FIN</t>
        </is>
      </c>
    </row>
    <row r="13">
      <c r="A13" t="inlineStr">
        <is>
          <t>EXECUCAO_MEDICOES</t>
        </is>
      </c>
      <c r="B13" t="inlineStr">
        <is>
          <t>EXE</t>
        </is>
      </c>
    </row>
    <row r="14">
      <c r="A14" t="inlineStr">
        <is>
          <t>ALTERACOES</t>
        </is>
      </c>
      <c r="B14" t="inlineStr">
        <is>
          <t>ALT</t>
        </is>
      </c>
    </row>
    <row r="15">
      <c r="A15" t="inlineStr">
        <is>
          <t>PENDENCIAS</t>
        </is>
      </c>
      <c r="B15" t="inlineStr">
        <is>
          <t>PEN</t>
        </is>
      </c>
    </row>
    <row r="16">
      <c r="A16" t="inlineStr">
        <is>
          <t>ATUALIZACOES</t>
        </is>
      </c>
      <c r="B16" t="inlineStr">
        <is>
          <t>ATU</t>
        </is>
      </c>
    </row>
    <row r="17">
      <c r="A17" t="inlineStr">
        <is>
          <t>DOCUMENTOS</t>
        </is>
      </c>
      <c r="B17" t="inlineStr">
        <is>
          <t>DOC</t>
        </is>
      </c>
    </row>
    <row r="18">
      <c r="A18" t="inlineStr">
        <is>
          <t>PAGAMENTOS</t>
        </is>
      </c>
      <c r="B18" t="inlineStr">
        <is>
          <t>PGT</t>
        </is>
      </c>
    </row>
    <row r="20">
      <c r="A20" s="3" t="inlineStr">
        <is>
          <t>Status do Serviço homologados (Etapa 3, Seção 18)</t>
        </is>
      </c>
    </row>
    <row r="21">
      <c r="A21" t="inlineStr">
        <is>
          <t>Ativo</t>
        </is>
      </c>
      <c r="B21" t="inlineStr">
        <is>
          <t>integra orçamento corrente</t>
        </is>
      </c>
    </row>
    <row r="22">
      <c r="A22" t="inlineStr">
        <is>
          <t>Concluído</t>
        </is>
      </c>
      <c r="B22" t="inlineStr">
        <is>
          <t>integra orçamento corrente</t>
        </is>
      </c>
    </row>
    <row r="23">
      <c r="A23" t="inlineStr">
        <is>
          <t>Cancelado</t>
        </is>
      </c>
      <c r="B23" t="inlineStr">
        <is>
          <t>excluído do orçamento corrente</t>
        </is>
      </c>
    </row>
    <row r="24">
      <c r="A24" t="inlineStr">
        <is>
          <t>Retirado do Escopo</t>
        </is>
      </c>
      <c r="B24" t="inlineStr">
        <is>
          <t>excluído do orçamento corrente</t>
        </is>
      </c>
    </row>
    <row r="25">
      <c r="A25" t="inlineStr">
        <is>
          <t>Substituído</t>
        </is>
      </c>
      <c r="B25" t="inlineStr">
        <is>
          <t>excluído do orçamento corrente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2026-09-18T01:08:24Z</dcterms:created>
  <dcterms:modified xsi:type="dcterms:W3CDTF">2026-09-18T01:08:24Z</dcterms:modified>
</cp:coreProperties>
</file>