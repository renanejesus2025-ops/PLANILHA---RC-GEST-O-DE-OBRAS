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Financeiro" sheetId="5" state="visible" r:id="rId5"/>
    <sheet name="Pagamentos" sheetId="6" state="visible" r:id="rId6"/>
    <sheet name="Alterações" sheetId="7" state="visible" r:id="rId7"/>
    <sheet name="Resumo Financeiro" sheetId="8" state="visible" r:id="rId8"/>
    <sheet name="Base_Dados" sheetId="9" state="hidden" r:id="rId9"/>
  </sheets>
  <definedNames>
    <definedName name="Lista_Etapas">TabelaEtapas[Nome]</definedName>
    <definedName name="Lista_Subetapas">TabelaSubetapas[Nome]</definedName>
    <definedName name="Lista_Financeiro_Descricoes">TabelaFinanceiro[Descrição]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3" fillId="3" borderId="1" pivotButton="0" quotePrefix="0" xfId="0"/>
    <xf numFmtId="165" fontId="0" fillId="0" borderId="1" pivotButton="0" quotePrefix="0" xfId="0"/>
    <xf numFmtId="165" fontId="3" fillId="3" borderId="1" pivotButton="0" quotePrefix="0" xfId="0"/>
    <xf numFmtId="0" fontId="1" fillId="2" borderId="0" pivotButton="0" quotePrefix="0" xfId="0"/>
    <xf numFmtId="1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elaEtapas" displayName="TabelaEtapas" ref="A1:F31" headerRowCount="1">
  <autoFilter ref="A1:F31"/>
  <tableColumns count="6">
    <tableColumn id="1" name="ID (técnico)"/>
    <tableColumn id="2" name="Nome"/>
    <tableColumn id="3" name="Ordem"/>
    <tableColumn id="4" name="Status"/>
    <tableColumn id="5" name="ID_Obra (técnico)"/>
    <tableColumn id="6" name="Total Previsto (Subetapas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elaSubetapas" displayName="TabelaSubetapas" ref="A1:F31" headerRowCount="1">
  <autoFilter ref="A1:F31"/>
  <tableColumns count="6">
    <tableColumn id="1" name="ID (técnico)"/>
    <tableColumn id="2" name="Nome"/>
    <tableColumn id="3" name="Etapa"/>
    <tableColumn id="4" name="Status"/>
    <tableColumn id="5" name="ID_Etapa (técnico)"/>
    <tableColumn id="6" name="Total Previsto (Serviços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abelaServicos" displayName="TabelaServicos" ref="A1:M31" headerRowCount="1">
  <autoFilter ref="A1:M31"/>
  <tableColumns count="13">
    <tableColumn id="1" name="ID (técnico)"/>
    <tableColumn id="2" name="Descrição"/>
    <tableColumn id="3" name="Subetapa"/>
    <tableColumn id="4" name="Unidade de Medida"/>
    <tableColumn id="5" name="Quantidade Orçada"/>
    <tableColumn id="6" name="Valor Unitário"/>
    <tableColumn id="7" name="Valor Calculado"/>
    <tableColumn id="8" name="Valor Previsto (Ajuste Manual)"/>
    <tableColumn id="9" name="Ajuste Manual"/>
    <tableColumn id="10" name="Valor Previsto"/>
    <tableColumn id="11" name="Variação"/>
    <tableColumn id="12" name="Status"/>
    <tableColumn id="13" name="ID_Subetapa (técnico)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abelaFinanceiro" displayName="TabelaFinanceiro" ref="A1:M31" headerRowCount="1">
  <autoFilter ref="A1:M31"/>
  <tableColumns count="13">
    <tableColumn id="1" name="ID (técnico)"/>
    <tableColumn id="2" name="Tipo"/>
    <tableColumn id="3" name="Data"/>
    <tableColumn id="4" name="Descrição"/>
    <tableColumn id="5" name="Valor"/>
    <tableColumn id="6" name="Entrada/Saída"/>
    <tableColumn id="7" name="Aporte"/>
    <tableColumn id="8" name="Custo Realizado"/>
    <tableColumn id="9" name="Total Pago"/>
    <tableColumn id="10" name="A Pagar"/>
    <tableColumn id="11" name="Situação"/>
    <tableColumn id="12" name="Observação"/>
    <tableColumn id="13" name="ID_Obra (técnico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abelaPagamentos" displayName="TabelaPagamentos" ref="A1:F31" headerRowCount="1">
  <autoFilter ref="A1:F31"/>
  <tableColumns count="6">
    <tableColumn id="1" name="ID (técnico)"/>
    <tableColumn id="2" name="Lançamento (Despesa/Custo)"/>
    <tableColumn id="3" name="Data do Pagamento"/>
    <tableColumn id="4" name="Valor Pago"/>
    <tableColumn id="5" name="Observação"/>
    <tableColumn id="6" name="ID_Financeiro (técnico)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TabelaAlteracoes" displayName="TabelaAlteracoes" ref="A1:I31" headerRowCount="1">
  <autoFilter ref="A1:I31"/>
  <tableColumns count="9">
    <tableColumn id="1" name="ID (técnico)"/>
    <tableColumn id="2" name="Tipo"/>
    <tableColumn id="3" name="Data"/>
    <tableColumn id="4" name="Descrição"/>
    <tableColumn id="5" name="Impacto no Orçamento"/>
    <tableColumn id="6" name="Impacto no Prazo (dias)"/>
    <tableColumn id="7" name="Status de Aprovação"/>
    <tableColumn id="8" name="Solicitante"/>
    <tableColumn id="9" name="ID_Obra (técnico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SUM(TabelaEtapas[Total Previsto (Subetapas)])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Ordem</t>
        </is>
      </c>
      <c r="D1" s="7" t="inlineStr">
        <is>
          <t>Status</t>
        </is>
      </c>
      <c r="E1" s="7" t="inlineStr">
        <is>
          <t>ID_Obra (técnico)</t>
        </is>
      </c>
      <c r="F1" s="7" t="inlineStr">
        <is>
          <t>Total Previsto (Subetapas)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</row>
  </sheetData>
  <dataValidations count="2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=COUNTIF(TabelaEtapas[Nome],B2)=1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Etapa</t>
        </is>
      </c>
      <c r="D1" s="7" t="inlineStr">
        <is>
          <t>Status</t>
        </is>
      </c>
      <c r="E1" s="7" t="inlineStr">
        <is>
          <t>ID_Etapa (técnico)</t>
        </is>
      </c>
      <c r="F1" s="7" t="inlineStr">
        <is>
          <t>Total Previsto (Serviços)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IF($B2="","",SUMIFS(Serviços!$J:$J,Serviços!$M:$M,$A2,Serviços!$L:$L,"&lt;&gt;Cancelado",Serviços!$L:$L,"&lt;&gt;Retirado do Escopo",Serviços!$L:$L,"&lt;&gt;Substituído"))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IF($B3="","",SUMIFS(Serviços!$J:$J,Serviços!$M:$M,$A3,Serviços!$L:$L,"&lt;&gt;Cancelado",Serviços!$L:$L,"&lt;&gt;Retirado do Escopo",Serviços!$L:$L,"&lt;&gt;Substituído"))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IF($B4="","",SUMIFS(Serviços!$J:$J,Serviços!$M:$M,$A4,Serviços!$L:$L,"&lt;&gt;Cancelado",Serviços!$L:$L,"&lt;&gt;Retirado do Escopo",Serviços!$L:$L,"&lt;&gt;Substituído"))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IF($B5="","",SUMIFS(Serviços!$J:$J,Serviços!$M:$M,$A5,Serviços!$L:$L,"&lt;&gt;Cancelado",Serviços!$L:$L,"&lt;&gt;Retirado do Escopo",Serviços!$L:$L,"&lt;&gt;Substituído"))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IF($B6="","",SUMIFS(Serviços!$J:$J,Serviços!$M:$M,$A6,Serviços!$L:$L,"&lt;&gt;Cancelado",Serviços!$L:$L,"&lt;&gt;Retirado do Escopo",Serviços!$L:$L,"&lt;&gt;Substituído"))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IF($B7="","",SUMIFS(Serviços!$J:$J,Serviços!$M:$M,$A7,Serviços!$L:$L,"&lt;&gt;Cancelado",Serviços!$L:$L,"&lt;&gt;Retirado do Escopo",Serviços!$L:$L,"&lt;&gt;Substituído"))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IF($B8="","",SUMIFS(Serviços!$J:$J,Serviços!$M:$M,$A8,Serviços!$L:$L,"&lt;&gt;Cancelado",Serviços!$L:$L,"&lt;&gt;Retirado do Escopo",Serviços!$L:$L,"&lt;&gt;Substituído"))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IF($B9="","",SUMIFS(Serviços!$J:$J,Serviços!$M:$M,$A9,Serviços!$L:$L,"&lt;&gt;Cancelado",Serviços!$L:$L,"&lt;&gt;Retirado do Escopo",Serviços!$L:$L,"&lt;&gt;Substituído"))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IF($B10="","",SUMIFS(Serviços!$J:$J,Serviços!$M:$M,$A10,Serviços!$L:$L,"&lt;&gt;Cancelado",Serviços!$L:$L,"&lt;&gt;Retirado do Escopo",Serviços!$L:$L,"&lt;&gt;Substituído"))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IF($B11="","",SUMIFS(Serviços!$J:$J,Serviços!$M:$M,$A11,Serviços!$L:$L,"&lt;&gt;Cancelado",Serviços!$L:$L,"&lt;&gt;Retirado do Escopo",Serviços!$L:$L,"&lt;&gt;Substituído"))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IF($B12="","",SUMIFS(Serviços!$J:$J,Serviços!$M:$M,$A12,Serviços!$L:$L,"&lt;&gt;Cancelado",Serviços!$L:$L,"&lt;&gt;Retirado do Escopo",Serviços!$L:$L,"&lt;&gt;Substituído"))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IF($B13="","",SUMIFS(Serviços!$J:$J,Serviços!$M:$M,$A13,Serviços!$L:$L,"&lt;&gt;Cancelado",Serviços!$L:$L,"&lt;&gt;Retirado do Escopo",Serviços!$L:$L,"&lt;&gt;Substituído"))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IF($B14="","",SUMIFS(Serviços!$J:$J,Serviços!$M:$M,$A14,Serviços!$L:$L,"&lt;&gt;Cancelado",Serviços!$L:$L,"&lt;&gt;Retirado do Escopo",Serviços!$L:$L,"&lt;&gt;Substituído"))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IF($B15="","",SUMIFS(Serviços!$J:$J,Serviços!$M:$M,$A15,Serviços!$L:$L,"&lt;&gt;Cancelado",Serviços!$L:$L,"&lt;&gt;Retirado do Escopo",Serviços!$L:$L,"&lt;&gt;Substituído"))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IF($B16="","",SUMIFS(Serviços!$J:$J,Serviços!$M:$M,$A16,Serviços!$L:$L,"&lt;&gt;Cancelado",Serviços!$L:$L,"&lt;&gt;Retirado do Escopo",Serviços!$L:$L,"&lt;&gt;Substituído"))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IF($B17="","",SUMIFS(Serviços!$J:$J,Serviços!$M:$M,$A17,Serviços!$L:$L,"&lt;&gt;Cancelado",Serviços!$L:$L,"&lt;&gt;Retirado do Escopo",Serviços!$L:$L,"&lt;&gt;Substituído"))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IF($B18="","",SUMIFS(Serviços!$J:$J,Serviços!$M:$M,$A18,Serviços!$L:$L,"&lt;&gt;Cancelado",Serviços!$L:$L,"&lt;&gt;Retirado do Escopo",Serviços!$L:$L,"&lt;&gt;Substituído"))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IF($B19="","",SUMIFS(Serviços!$J:$J,Serviços!$M:$M,$A19,Serviços!$L:$L,"&lt;&gt;Cancelado",Serviços!$L:$L,"&lt;&gt;Retirado do Escopo",Serviços!$L:$L,"&lt;&gt;Substituído"))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IF($B20="","",SUMIFS(Serviços!$J:$J,Serviços!$M:$M,$A20,Serviços!$L:$L,"&lt;&gt;Cancelado",Serviços!$L:$L,"&lt;&gt;Retirado do Escopo",Serviços!$L:$L,"&lt;&gt;Substituído"))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IF($B21="","",SUMIFS(Serviços!$J:$J,Serviços!$M:$M,$A21,Serviços!$L:$L,"&lt;&gt;Cancelado",Serviços!$L:$L,"&lt;&gt;Retirado do Escopo",Serviços!$L:$L,"&lt;&gt;Substituído"))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IF($B22="","",SUMIFS(Serviços!$J:$J,Serviços!$M:$M,$A22,Serviços!$L:$L,"&lt;&gt;Cancelado",Serviços!$L:$L,"&lt;&gt;Retirado do Escopo",Serviços!$L:$L,"&lt;&gt;Substituído"))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IF($B23="","",SUMIFS(Serviços!$J:$J,Serviços!$M:$M,$A23,Serviços!$L:$L,"&lt;&gt;Cancelado",Serviços!$L:$L,"&lt;&gt;Retirado do Escopo",Serviços!$L:$L,"&lt;&gt;Substituído"))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IF($B24="","",SUMIFS(Serviços!$J:$J,Serviços!$M:$M,$A24,Serviços!$L:$L,"&lt;&gt;Cancelado",Serviços!$L:$L,"&lt;&gt;Retirado do Escopo",Serviços!$L:$L,"&lt;&gt;Substituído"))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IF($B25="","",SUMIFS(Serviços!$J:$J,Serviços!$M:$M,$A25,Serviços!$L:$L,"&lt;&gt;Cancelado",Serviços!$L:$L,"&lt;&gt;Retirado do Escopo",Serviços!$L:$L,"&lt;&gt;Substituído"))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IF($B26="","",SUMIFS(Serviços!$J:$J,Serviços!$M:$M,$A26,Serviços!$L:$L,"&lt;&gt;Cancelado",Serviços!$L:$L,"&lt;&gt;Retirado do Escopo",Serviços!$L:$L,"&lt;&gt;Substituído"))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IF($B27="","",SUMIFS(Serviços!$J:$J,Serviços!$M:$M,$A27,Serviços!$L:$L,"&lt;&gt;Cancelado",Serviços!$L:$L,"&lt;&gt;Retirado do Escopo",Serviços!$L:$L,"&lt;&gt;Substituído"))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IF($B28="","",SUMIFS(Serviços!$J:$J,Serviços!$M:$M,$A28,Serviços!$L:$L,"&lt;&gt;Cancelado",Serviços!$L:$L,"&lt;&gt;Retirado do Escopo",Serviços!$L:$L,"&lt;&gt;Substituído"))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IF($B29="","",SUMIFS(Serviços!$J:$J,Serviços!$M:$M,$A29,Serviços!$L:$L,"&lt;&gt;Cancelado",Serviços!$L:$L,"&lt;&gt;Retirado do Escopo",Serviços!$L:$L,"&lt;&gt;Substituído"))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IF($B30="","",SUMIFS(Serviços!$J:$J,Serviços!$M:$M,$A30,Serviços!$L:$L,"&lt;&gt;Cancelado",Serviços!$L:$L,"&lt;&gt;Retirado do Escopo",Serviços!$L:$L,"&lt;&gt;Substituído"))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IF($B31="","",SUMIFS(Serviços!$J:$J,Serviços!$M:$M,$A31,Serviços!$L:$L,"&lt;&gt;Cancelado",Serviços!$L:$L,"&lt;&gt;Retirado do Escopo",Serviços!$L:$L,"&lt;&gt;Substituído"))</f>
        <v/>
      </c>
    </row>
  </sheetData>
  <dataValidations count="2">
    <dataValidation sqref="C2:C31" showDropDown="0" showInputMessage="0" showErrorMessage="1" allowBlank="1" errorTitle="Etapa inválida" error="Selecione uma Etapa já cadastrada na aba Etapas." type="list">
      <formula1>Lista_Etapas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=COUNTIF(TabelaSubetapas[Nome],B2)=1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hidden="1" width="18" customWidth="1" min="13" max="13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Subetapa</t>
        </is>
      </c>
      <c r="D1" s="7" t="inlineStr">
        <is>
          <t>Unidade de Medida</t>
        </is>
      </c>
      <c r="E1" s="7" t="inlineStr">
        <is>
          <t>Quantidade Orçada</t>
        </is>
      </c>
      <c r="F1" s="7" t="inlineStr">
        <is>
          <t>Valor Unitário</t>
        </is>
      </c>
      <c r="G1" s="7" t="inlineStr">
        <is>
          <t>Valor Calculado</t>
        </is>
      </c>
      <c r="H1" s="7" t="inlineStr">
        <is>
          <t>Valor Previsto (Ajuste Manual)</t>
        </is>
      </c>
      <c r="I1" s="7" t="inlineStr">
        <is>
          <t>Ajuste Manual</t>
        </is>
      </c>
      <c r="J1" s="7" t="inlineStr">
        <is>
          <t>Valor Previsto</t>
        </is>
      </c>
      <c r="K1" s="7" t="inlineStr">
        <is>
          <t>Variação</t>
        </is>
      </c>
      <c r="L1" s="7" t="inlineStr">
        <is>
          <t>Status</t>
        </is>
      </c>
      <c r="M1" s="7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8" t="n"/>
      <c r="F2" s="8" t="n"/>
      <c r="G2" s="6">
        <f>IF(OR($E2="",$F2=""),"",$E2*$F2)</f>
        <v/>
      </c>
      <c r="H2" s="8" t="n"/>
      <c r="I2" s="9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8" t="n"/>
      <c r="F3" s="8" t="n"/>
      <c r="G3" s="6">
        <f>IF(OR($E3="",$F3=""),"",$E3*$F3)</f>
        <v/>
      </c>
      <c r="H3" s="8" t="n"/>
      <c r="I3" s="9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8" t="n"/>
      <c r="F4" s="8" t="n"/>
      <c r="G4" s="6">
        <f>IF(OR($E4="",$F4=""),"",$E4*$F4)</f>
        <v/>
      </c>
      <c r="H4" s="8" t="n"/>
      <c r="I4" s="9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8" t="n"/>
      <c r="F5" s="8" t="n"/>
      <c r="G5" s="6">
        <f>IF(OR($E5="",$F5=""),"",$E5*$F5)</f>
        <v/>
      </c>
      <c r="H5" s="8" t="n"/>
      <c r="I5" s="9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8" t="n"/>
      <c r="F6" s="8" t="n"/>
      <c r="G6" s="6">
        <f>IF(OR($E6="",$F6=""),"",$E6*$F6)</f>
        <v/>
      </c>
      <c r="H6" s="8" t="n"/>
      <c r="I6" s="9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8" t="n"/>
      <c r="F7" s="8" t="n"/>
      <c r="G7" s="6">
        <f>IF(OR($E7="",$F7=""),"",$E7*$F7)</f>
        <v/>
      </c>
      <c r="H7" s="8" t="n"/>
      <c r="I7" s="9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8" t="n"/>
      <c r="F8" s="8" t="n"/>
      <c r="G8" s="6">
        <f>IF(OR($E8="",$F8=""),"",$E8*$F8)</f>
        <v/>
      </c>
      <c r="H8" s="8" t="n"/>
      <c r="I8" s="9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8" t="n"/>
      <c r="F9" s="8" t="n"/>
      <c r="G9" s="6">
        <f>IF(OR($E9="",$F9=""),"",$E9*$F9)</f>
        <v/>
      </c>
      <c r="H9" s="8" t="n"/>
      <c r="I9" s="9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8" t="n"/>
      <c r="F10" s="8" t="n"/>
      <c r="G10" s="6">
        <f>IF(OR($E10="",$F10=""),"",$E10*$F10)</f>
        <v/>
      </c>
      <c r="H10" s="8" t="n"/>
      <c r="I10" s="9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8" t="n"/>
      <c r="F11" s="8" t="n"/>
      <c r="G11" s="6">
        <f>IF(OR($E11="",$F11=""),"",$E11*$F11)</f>
        <v/>
      </c>
      <c r="H11" s="8" t="n"/>
      <c r="I11" s="9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8" t="n"/>
      <c r="F12" s="8" t="n"/>
      <c r="G12" s="6">
        <f>IF(OR($E12="",$F12=""),"",$E12*$F12)</f>
        <v/>
      </c>
      <c r="H12" s="8" t="n"/>
      <c r="I12" s="9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8" t="n"/>
      <c r="F13" s="8" t="n"/>
      <c r="G13" s="6">
        <f>IF(OR($E13="",$F13=""),"",$E13*$F13)</f>
        <v/>
      </c>
      <c r="H13" s="8" t="n"/>
      <c r="I13" s="9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8" t="n"/>
      <c r="F14" s="8" t="n"/>
      <c r="G14" s="6">
        <f>IF(OR($E14="",$F14=""),"",$E14*$F14)</f>
        <v/>
      </c>
      <c r="H14" s="8" t="n"/>
      <c r="I14" s="9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8" t="n"/>
      <c r="F15" s="8" t="n"/>
      <c r="G15" s="6">
        <f>IF(OR($E15="",$F15=""),"",$E15*$F15)</f>
        <v/>
      </c>
      <c r="H15" s="8" t="n"/>
      <c r="I15" s="9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8" t="n"/>
      <c r="F16" s="8" t="n"/>
      <c r="G16" s="6">
        <f>IF(OR($E16="",$F16=""),"",$E16*$F16)</f>
        <v/>
      </c>
      <c r="H16" s="8" t="n"/>
      <c r="I16" s="9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8" t="n"/>
      <c r="F17" s="8" t="n"/>
      <c r="G17" s="6">
        <f>IF(OR($E17="",$F17=""),"",$E17*$F17)</f>
        <v/>
      </c>
      <c r="H17" s="8" t="n"/>
      <c r="I17" s="9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8" t="n"/>
      <c r="F18" s="8" t="n"/>
      <c r="G18" s="6">
        <f>IF(OR($E18="",$F18=""),"",$E18*$F18)</f>
        <v/>
      </c>
      <c r="H18" s="8" t="n"/>
      <c r="I18" s="9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8" t="n"/>
      <c r="F19" s="8" t="n"/>
      <c r="G19" s="6">
        <f>IF(OR($E19="",$F19=""),"",$E19*$F19)</f>
        <v/>
      </c>
      <c r="H19" s="8" t="n"/>
      <c r="I19" s="9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8" t="n"/>
      <c r="F20" s="8" t="n"/>
      <c r="G20" s="6">
        <f>IF(OR($E20="",$F20=""),"",$E20*$F20)</f>
        <v/>
      </c>
      <c r="H20" s="8" t="n"/>
      <c r="I20" s="9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8" t="n"/>
      <c r="F21" s="8" t="n"/>
      <c r="G21" s="6">
        <f>IF(OR($E21="",$F21=""),"",$E21*$F21)</f>
        <v/>
      </c>
      <c r="H21" s="8" t="n"/>
      <c r="I21" s="9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8" t="n"/>
      <c r="F22" s="8" t="n"/>
      <c r="G22" s="6">
        <f>IF(OR($E22="",$F22=""),"",$E22*$F22)</f>
        <v/>
      </c>
      <c r="H22" s="8" t="n"/>
      <c r="I22" s="9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8" t="n"/>
      <c r="F23" s="8" t="n"/>
      <c r="G23" s="6">
        <f>IF(OR($E23="",$F23=""),"",$E23*$F23)</f>
        <v/>
      </c>
      <c r="H23" s="8" t="n"/>
      <c r="I23" s="9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8" t="n"/>
      <c r="F24" s="8" t="n"/>
      <c r="G24" s="6">
        <f>IF(OR($E24="",$F24=""),"",$E24*$F24)</f>
        <v/>
      </c>
      <c r="H24" s="8" t="n"/>
      <c r="I24" s="9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8" t="n"/>
      <c r="F25" s="8" t="n"/>
      <c r="G25" s="6">
        <f>IF(OR($E25="",$F25=""),"",$E25*$F25)</f>
        <v/>
      </c>
      <c r="H25" s="8" t="n"/>
      <c r="I25" s="9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8" t="n"/>
      <c r="F26" s="8" t="n"/>
      <c r="G26" s="6">
        <f>IF(OR($E26="",$F26=""),"",$E26*$F26)</f>
        <v/>
      </c>
      <c r="H26" s="8" t="n"/>
      <c r="I26" s="9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8" t="n"/>
      <c r="F27" s="8" t="n"/>
      <c r="G27" s="6">
        <f>IF(OR($E27="",$F27=""),"",$E27*$F27)</f>
        <v/>
      </c>
      <c r="H27" s="8" t="n"/>
      <c r="I27" s="9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8" t="n"/>
      <c r="F28" s="8" t="n"/>
      <c r="G28" s="6">
        <f>IF(OR($E28="",$F28=""),"",$E28*$F28)</f>
        <v/>
      </c>
      <c r="H28" s="8" t="n"/>
      <c r="I28" s="9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8" t="n"/>
      <c r="F29" s="8" t="n"/>
      <c r="G29" s="6">
        <f>IF(OR($E29="",$F29=""),"",$E29*$F29)</f>
        <v/>
      </c>
      <c r="H29" s="8" t="n"/>
      <c r="I29" s="9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8" t="n"/>
      <c r="F30" s="8" t="n"/>
      <c r="G30" s="6">
        <f>IF(OR($E30="",$F30=""),"",$E30*$F30)</f>
        <v/>
      </c>
      <c r="H30" s="8" t="n"/>
      <c r="I30" s="9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8" t="n"/>
      <c r="F31" s="8" t="n"/>
      <c r="G31" s="6">
        <f>IF(OR($E31="",$F31=""),"",$E31*$F31)</f>
        <v/>
      </c>
      <c r="H31" s="8" t="n"/>
      <c r="I31" s="9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>
        <f>IF($C31="","",INDEX(Subetapas!$A:$A,MATCH($C31,Subetapas!$B:$B,0)))</f>
        <v/>
      </c>
    </row>
  </sheetData>
  <dataValidations count="4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0" customWidth="1" min="2" max="2"/>
    <col width="14" customWidth="1" min="3" max="3"/>
    <col width="34" customWidth="1" min="4" max="4"/>
    <col width="16" customWidth="1" min="5" max="5"/>
    <col width="2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30" customWidth="1" min="12" max="12"/>
    <col hidden="1" width="16" customWidth="1" min="13" max="13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Valor</t>
        </is>
      </c>
      <c r="F1" s="7" t="inlineStr">
        <is>
          <t>Entrada/Saída</t>
        </is>
      </c>
      <c r="G1" s="7" t="inlineStr">
        <is>
          <t>Aporte</t>
        </is>
      </c>
      <c r="H1" s="7" t="inlineStr">
        <is>
          <t>Custo Realizado</t>
        </is>
      </c>
      <c r="I1" s="7" t="inlineStr">
        <is>
          <t>Total Pago</t>
        </is>
      </c>
      <c r="J1" s="7" t="inlineStr">
        <is>
          <t>A Pagar</t>
        </is>
      </c>
      <c r="K1" s="7" t="inlineStr">
        <is>
          <t>Situação</t>
        </is>
      </c>
      <c r="L1" s="7" t="inlineStr">
        <is>
          <t>Observação</t>
        </is>
      </c>
      <c r="M1" s="7" t="inlineStr">
        <is>
          <t>ID_Obra (técnico)</t>
        </is>
      </c>
    </row>
    <row r="2">
      <c r="A2" s="4">
        <f>IF($B2="","","FIN-"&amp;TEXT(ROW()-1,"0000"))</f>
        <v/>
      </c>
      <c r="B2" s="4" t="n"/>
      <c r="C2" s="5" t="n"/>
      <c r="D2" s="4" t="n"/>
      <c r="E2" s="10" t="n"/>
      <c r="F2" s="9">
        <f>IF($B2="","",IF($B2="Aporte","Entrada",IF($B2="Outras Entradas","Entrada",IF($B2="Outras Saídas","Saída","Custo (Caixa só no Pagamento)"))))</f>
        <v/>
      </c>
      <c r="G2" s="11">
        <f>IF($B2="Aporte",$E2,"")</f>
        <v/>
      </c>
      <c r="H2" s="11">
        <f>IF($B2="Despesa/Custo",$E2,"")</f>
        <v/>
      </c>
      <c r="I2" s="11">
        <f>IF($B2="Despesa/Custo",SUMIFS(Pagamentos!$D:$D,Pagamentos!$F:$F,$A2),"")</f>
        <v/>
      </c>
      <c r="J2" s="11">
        <f>IF($B2="Despesa/Custo",$H2-$I2,"")</f>
        <v/>
      </c>
      <c r="K2" s="4" t="n"/>
      <c r="L2" s="4" t="n"/>
      <c r="M2" s="4">
        <f>IF($B2="","",Base_Dados!$B$2)</f>
        <v/>
      </c>
    </row>
    <row r="3">
      <c r="A3" s="4">
        <f>IF($B3="","","FIN-"&amp;TEXT(ROW()-1,"0000"))</f>
        <v/>
      </c>
      <c r="B3" s="4" t="n"/>
      <c r="C3" s="5" t="n"/>
      <c r="D3" s="4" t="n"/>
      <c r="E3" s="10" t="n"/>
      <c r="F3" s="9">
        <f>IF($B3="","",IF($B3="Aporte","Entrada",IF($B3="Outras Entradas","Entrada",IF($B3="Outras Saídas","Saída","Custo (Caixa só no Pagamento)"))))</f>
        <v/>
      </c>
      <c r="G3" s="11">
        <f>IF($B3="Aporte",$E3,"")</f>
        <v/>
      </c>
      <c r="H3" s="11">
        <f>IF($B3="Despesa/Custo",$E3,"")</f>
        <v/>
      </c>
      <c r="I3" s="11">
        <f>IF($B3="Despesa/Custo",SUMIFS(Pagamentos!$D:$D,Pagamentos!$F:$F,$A3),"")</f>
        <v/>
      </c>
      <c r="J3" s="11">
        <f>IF($B3="Despesa/Custo",$H3-$I3,"")</f>
        <v/>
      </c>
      <c r="K3" s="4" t="n"/>
      <c r="L3" s="4" t="n"/>
      <c r="M3" s="4">
        <f>IF($B3="","",Base_Dados!$B$2)</f>
        <v/>
      </c>
    </row>
    <row r="4">
      <c r="A4" s="4">
        <f>IF($B4="","","FIN-"&amp;TEXT(ROW()-1,"0000"))</f>
        <v/>
      </c>
      <c r="B4" s="4" t="n"/>
      <c r="C4" s="5" t="n"/>
      <c r="D4" s="4" t="n"/>
      <c r="E4" s="10" t="n"/>
      <c r="F4" s="9">
        <f>IF($B4="","",IF($B4="Aporte","Entrada",IF($B4="Outras Entradas","Entrada",IF($B4="Outras Saídas","Saída","Custo (Caixa só no Pagamento)"))))</f>
        <v/>
      </c>
      <c r="G4" s="11">
        <f>IF($B4="Aporte",$E4,"")</f>
        <v/>
      </c>
      <c r="H4" s="11">
        <f>IF($B4="Despesa/Custo",$E4,"")</f>
        <v/>
      </c>
      <c r="I4" s="11">
        <f>IF($B4="Despesa/Custo",SUMIFS(Pagamentos!$D:$D,Pagamentos!$F:$F,$A4),"")</f>
        <v/>
      </c>
      <c r="J4" s="11">
        <f>IF($B4="Despesa/Custo",$H4-$I4,"")</f>
        <v/>
      </c>
      <c r="K4" s="4" t="n"/>
      <c r="L4" s="4" t="n"/>
      <c r="M4" s="4">
        <f>IF($B4="","",Base_Dados!$B$2)</f>
        <v/>
      </c>
    </row>
    <row r="5">
      <c r="A5" s="4">
        <f>IF($B5="","","FIN-"&amp;TEXT(ROW()-1,"0000"))</f>
        <v/>
      </c>
      <c r="B5" s="4" t="n"/>
      <c r="C5" s="5" t="n"/>
      <c r="D5" s="4" t="n"/>
      <c r="E5" s="10" t="n"/>
      <c r="F5" s="9">
        <f>IF($B5="","",IF($B5="Aporte","Entrada",IF($B5="Outras Entradas","Entrada",IF($B5="Outras Saídas","Saída","Custo (Caixa só no Pagamento)"))))</f>
        <v/>
      </c>
      <c r="G5" s="11">
        <f>IF($B5="Aporte",$E5,"")</f>
        <v/>
      </c>
      <c r="H5" s="11">
        <f>IF($B5="Despesa/Custo",$E5,"")</f>
        <v/>
      </c>
      <c r="I5" s="11">
        <f>IF($B5="Despesa/Custo",SUMIFS(Pagamentos!$D:$D,Pagamentos!$F:$F,$A5),"")</f>
        <v/>
      </c>
      <c r="J5" s="11">
        <f>IF($B5="Despesa/Custo",$H5-$I5,"")</f>
        <v/>
      </c>
      <c r="K5" s="4" t="n"/>
      <c r="L5" s="4" t="n"/>
      <c r="M5" s="4">
        <f>IF($B5="","",Base_Dados!$B$2)</f>
        <v/>
      </c>
    </row>
    <row r="6">
      <c r="A6" s="4">
        <f>IF($B6="","","FIN-"&amp;TEXT(ROW()-1,"0000"))</f>
        <v/>
      </c>
      <c r="B6" s="4" t="n"/>
      <c r="C6" s="5" t="n"/>
      <c r="D6" s="4" t="n"/>
      <c r="E6" s="10" t="n"/>
      <c r="F6" s="9">
        <f>IF($B6="","",IF($B6="Aporte","Entrada",IF($B6="Outras Entradas","Entrada",IF($B6="Outras Saídas","Saída","Custo (Caixa só no Pagamento)"))))</f>
        <v/>
      </c>
      <c r="G6" s="11">
        <f>IF($B6="Aporte",$E6,"")</f>
        <v/>
      </c>
      <c r="H6" s="11">
        <f>IF($B6="Despesa/Custo",$E6,"")</f>
        <v/>
      </c>
      <c r="I6" s="11">
        <f>IF($B6="Despesa/Custo",SUMIFS(Pagamentos!$D:$D,Pagamentos!$F:$F,$A6),"")</f>
        <v/>
      </c>
      <c r="J6" s="11">
        <f>IF($B6="Despesa/Custo",$H6-$I6,"")</f>
        <v/>
      </c>
      <c r="K6" s="4" t="n"/>
      <c r="L6" s="4" t="n"/>
      <c r="M6" s="4">
        <f>IF($B6="","",Base_Dados!$B$2)</f>
        <v/>
      </c>
    </row>
    <row r="7">
      <c r="A7" s="4">
        <f>IF($B7="","","FIN-"&amp;TEXT(ROW()-1,"0000"))</f>
        <v/>
      </c>
      <c r="B7" s="4" t="n"/>
      <c r="C7" s="5" t="n"/>
      <c r="D7" s="4" t="n"/>
      <c r="E7" s="10" t="n"/>
      <c r="F7" s="9">
        <f>IF($B7="","",IF($B7="Aporte","Entrada",IF($B7="Outras Entradas","Entrada",IF($B7="Outras Saídas","Saída","Custo (Caixa só no Pagamento)"))))</f>
        <v/>
      </c>
      <c r="G7" s="11">
        <f>IF($B7="Aporte",$E7,"")</f>
        <v/>
      </c>
      <c r="H7" s="11">
        <f>IF($B7="Despesa/Custo",$E7,"")</f>
        <v/>
      </c>
      <c r="I7" s="11">
        <f>IF($B7="Despesa/Custo",SUMIFS(Pagamentos!$D:$D,Pagamentos!$F:$F,$A7),"")</f>
        <v/>
      </c>
      <c r="J7" s="11">
        <f>IF($B7="Despesa/Custo",$H7-$I7,"")</f>
        <v/>
      </c>
      <c r="K7" s="4" t="n"/>
      <c r="L7" s="4" t="n"/>
      <c r="M7" s="4">
        <f>IF($B7="","",Base_Dados!$B$2)</f>
        <v/>
      </c>
    </row>
    <row r="8">
      <c r="A8" s="4">
        <f>IF($B8="","","FIN-"&amp;TEXT(ROW()-1,"0000"))</f>
        <v/>
      </c>
      <c r="B8" s="4" t="n"/>
      <c r="C8" s="5" t="n"/>
      <c r="D8" s="4" t="n"/>
      <c r="E8" s="10" t="n"/>
      <c r="F8" s="9">
        <f>IF($B8="","",IF($B8="Aporte","Entrada",IF($B8="Outras Entradas","Entrada",IF($B8="Outras Saídas","Saída","Custo (Caixa só no Pagamento)"))))</f>
        <v/>
      </c>
      <c r="G8" s="11">
        <f>IF($B8="Aporte",$E8,"")</f>
        <v/>
      </c>
      <c r="H8" s="11">
        <f>IF($B8="Despesa/Custo",$E8,"")</f>
        <v/>
      </c>
      <c r="I8" s="11">
        <f>IF($B8="Despesa/Custo",SUMIFS(Pagamentos!$D:$D,Pagamentos!$F:$F,$A8),"")</f>
        <v/>
      </c>
      <c r="J8" s="11">
        <f>IF($B8="Despesa/Custo",$H8-$I8,"")</f>
        <v/>
      </c>
      <c r="K8" s="4" t="n"/>
      <c r="L8" s="4" t="n"/>
      <c r="M8" s="4">
        <f>IF($B8="","",Base_Dados!$B$2)</f>
        <v/>
      </c>
    </row>
    <row r="9">
      <c r="A9" s="4">
        <f>IF($B9="","","FIN-"&amp;TEXT(ROW()-1,"0000"))</f>
        <v/>
      </c>
      <c r="B9" s="4" t="n"/>
      <c r="C9" s="5" t="n"/>
      <c r="D9" s="4" t="n"/>
      <c r="E9" s="10" t="n"/>
      <c r="F9" s="9">
        <f>IF($B9="","",IF($B9="Aporte","Entrada",IF($B9="Outras Entradas","Entrada",IF($B9="Outras Saídas","Saída","Custo (Caixa só no Pagamento)"))))</f>
        <v/>
      </c>
      <c r="G9" s="11">
        <f>IF($B9="Aporte",$E9,"")</f>
        <v/>
      </c>
      <c r="H9" s="11">
        <f>IF($B9="Despesa/Custo",$E9,"")</f>
        <v/>
      </c>
      <c r="I9" s="11">
        <f>IF($B9="Despesa/Custo",SUMIFS(Pagamentos!$D:$D,Pagamentos!$F:$F,$A9),"")</f>
        <v/>
      </c>
      <c r="J9" s="11">
        <f>IF($B9="Despesa/Custo",$H9-$I9,"")</f>
        <v/>
      </c>
      <c r="K9" s="4" t="n"/>
      <c r="L9" s="4" t="n"/>
      <c r="M9" s="4">
        <f>IF($B9="","",Base_Dados!$B$2)</f>
        <v/>
      </c>
    </row>
    <row r="10">
      <c r="A10" s="4">
        <f>IF($B10="","","FIN-"&amp;TEXT(ROW()-1,"0000"))</f>
        <v/>
      </c>
      <c r="B10" s="4" t="n"/>
      <c r="C10" s="5" t="n"/>
      <c r="D10" s="4" t="n"/>
      <c r="E10" s="10" t="n"/>
      <c r="F10" s="9">
        <f>IF($B10="","",IF($B10="Aporte","Entrada",IF($B10="Outras Entradas","Entrada",IF($B10="Outras Saídas","Saída","Custo (Caixa só no Pagamento)"))))</f>
        <v/>
      </c>
      <c r="G10" s="11">
        <f>IF($B10="Aporte",$E10,"")</f>
        <v/>
      </c>
      <c r="H10" s="11">
        <f>IF($B10="Despesa/Custo",$E10,"")</f>
        <v/>
      </c>
      <c r="I10" s="11">
        <f>IF($B10="Despesa/Custo",SUMIFS(Pagamentos!$D:$D,Pagamentos!$F:$F,$A10),"")</f>
        <v/>
      </c>
      <c r="J10" s="11">
        <f>IF($B10="Despesa/Custo",$H10-$I10,"")</f>
        <v/>
      </c>
      <c r="K10" s="4" t="n"/>
      <c r="L10" s="4" t="n"/>
      <c r="M10" s="4">
        <f>IF($B10="","",Base_Dados!$B$2)</f>
        <v/>
      </c>
    </row>
    <row r="11">
      <c r="A11" s="4">
        <f>IF($B11="","","FIN-"&amp;TEXT(ROW()-1,"0000"))</f>
        <v/>
      </c>
      <c r="B11" s="4" t="n"/>
      <c r="C11" s="5" t="n"/>
      <c r="D11" s="4" t="n"/>
      <c r="E11" s="10" t="n"/>
      <c r="F11" s="9">
        <f>IF($B11="","",IF($B11="Aporte","Entrada",IF($B11="Outras Entradas","Entrada",IF($B11="Outras Saídas","Saída","Custo (Caixa só no Pagamento)"))))</f>
        <v/>
      </c>
      <c r="G11" s="11">
        <f>IF($B11="Aporte",$E11,"")</f>
        <v/>
      </c>
      <c r="H11" s="11">
        <f>IF($B11="Despesa/Custo",$E11,"")</f>
        <v/>
      </c>
      <c r="I11" s="11">
        <f>IF($B11="Despesa/Custo",SUMIFS(Pagamentos!$D:$D,Pagamentos!$F:$F,$A11),"")</f>
        <v/>
      </c>
      <c r="J11" s="11">
        <f>IF($B11="Despesa/Custo",$H11-$I11,"")</f>
        <v/>
      </c>
      <c r="K11" s="4" t="n"/>
      <c r="L11" s="4" t="n"/>
      <c r="M11" s="4">
        <f>IF($B11="","",Base_Dados!$B$2)</f>
        <v/>
      </c>
    </row>
    <row r="12">
      <c r="A12" s="4">
        <f>IF($B12="","","FIN-"&amp;TEXT(ROW()-1,"0000"))</f>
        <v/>
      </c>
      <c r="B12" s="4" t="n"/>
      <c r="C12" s="5" t="n"/>
      <c r="D12" s="4" t="n"/>
      <c r="E12" s="10" t="n"/>
      <c r="F12" s="9">
        <f>IF($B12="","",IF($B12="Aporte","Entrada",IF($B12="Outras Entradas","Entrada",IF($B12="Outras Saídas","Saída","Custo (Caixa só no Pagamento)"))))</f>
        <v/>
      </c>
      <c r="G12" s="11">
        <f>IF($B12="Aporte",$E12,"")</f>
        <v/>
      </c>
      <c r="H12" s="11">
        <f>IF($B12="Despesa/Custo",$E12,"")</f>
        <v/>
      </c>
      <c r="I12" s="11">
        <f>IF($B12="Despesa/Custo",SUMIFS(Pagamentos!$D:$D,Pagamentos!$F:$F,$A12),"")</f>
        <v/>
      </c>
      <c r="J12" s="11">
        <f>IF($B12="Despesa/Custo",$H12-$I12,"")</f>
        <v/>
      </c>
      <c r="K12" s="4" t="n"/>
      <c r="L12" s="4" t="n"/>
      <c r="M12" s="4">
        <f>IF($B12="","",Base_Dados!$B$2)</f>
        <v/>
      </c>
    </row>
    <row r="13">
      <c r="A13" s="4">
        <f>IF($B13="","","FIN-"&amp;TEXT(ROW()-1,"0000"))</f>
        <v/>
      </c>
      <c r="B13" s="4" t="n"/>
      <c r="C13" s="5" t="n"/>
      <c r="D13" s="4" t="n"/>
      <c r="E13" s="10" t="n"/>
      <c r="F13" s="9">
        <f>IF($B13="","",IF($B13="Aporte","Entrada",IF($B13="Outras Entradas","Entrada",IF($B13="Outras Saídas","Saída","Custo (Caixa só no Pagamento)"))))</f>
        <v/>
      </c>
      <c r="G13" s="11">
        <f>IF($B13="Aporte",$E13,"")</f>
        <v/>
      </c>
      <c r="H13" s="11">
        <f>IF($B13="Despesa/Custo",$E13,"")</f>
        <v/>
      </c>
      <c r="I13" s="11">
        <f>IF($B13="Despesa/Custo",SUMIFS(Pagamentos!$D:$D,Pagamentos!$F:$F,$A13),"")</f>
        <v/>
      </c>
      <c r="J13" s="11">
        <f>IF($B13="Despesa/Custo",$H13-$I13,"")</f>
        <v/>
      </c>
      <c r="K13" s="4" t="n"/>
      <c r="L13" s="4" t="n"/>
      <c r="M13" s="4">
        <f>IF($B13="","",Base_Dados!$B$2)</f>
        <v/>
      </c>
    </row>
    <row r="14">
      <c r="A14" s="4">
        <f>IF($B14="","","FIN-"&amp;TEXT(ROW()-1,"0000"))</f>
        <v/>
      </c>
      <c r="B14" s="4" t="n"/>
      <c r="C14" s="5" t="n"/>
      <c r="D14" s="4" t="n"/>
      <c r="E14" s="10" t="n"/>
      <c r="F14" s="9">
        <f>IF($B14="","",IF($B14="Aporte","Entrada",IF($B14="Outras Entradas","Entrada",IF($B14="Outras Saídas","Saída","Custo (Caixa só no Pagamento)"))))</f>
        <v/>
      </c>
      <c r="G14" s="11">
        <f>IF($B14="Aporte",$E14,"")</f>
        <v/>
      </c>
      <c r="H14" s="11">
        <f>IF($B14="Despesa/Custo",$E14,"")</f>
        <v/>
      </c>
      <c r="I14" s="11">
        <f>IF($B14="Despesa/Custo",SUMIFS(Pagamentos!$D:$D,Pagamentos!$F:$F,$A14),"")</f>
        <v/>
      </c>
      <c r="J14" s="11">
        <f>IF($B14="Despesa/Custo",$H14-$I14,"")</f>
        <v/>
      </c>
      <c r="K14" s="4" t="n"/>
      <c r="L14" s="4" t="n"/>
      <c r="M14" s="4">
        <f>IF($B14="","",Base_Dados!$B$2)</f>
        <v/>
      </c>
    </row>
    <row r="15">
      <c r="A15" s="4">
        <f>IF($B15="","","FIN-"&amp;TEXT(ROW()-1,"0000"))</f>
        <v/>
      </c>
      <c r="B15" s="4" t="n"/>
      <c r="C15" s="5" t="n"/>
      <c r="D15" s="4" t="n"/>
      <c r="E15" s="10" t="n"/>
      <c r="F15" s="9">
        <f>IF($B15="","",IF($B15="Aporte","Entrada",IF($B15="Outras Entradas","Entrada",IF($B15="Outras Saídas","Saída","Custo (Caixa só no Pagamento)"))))</f>
        <v/>
      </c>
      <c r="G15" s="11">
        <f>IF($B15="Aporte",$E15,"")</f>
        <v/>
      </c>
      <c r="H15" s="11">
        <f>IF($B15="Despesa/Custo",$E15,"")</f>
        <v/>
      </c>
      <c r="I15" s="11">
        <f>IF($B15="Despesa/Custo",SUMIFS(Pagamentos!$D:$D,Pagamentos!$F:$F,$A15),"")</f>
        <v/>
      </c>
      <c r="J15" s="11">
        <f>IF($B15="Despesa/Custo",$H15-$I15,"")</f>
        <v/>
      </c>
      <c r="K15" s="4" t="n"/>
      <c r="L15" s="4" t="n"/>
      <c r="M15" s="4">
        <f>IF($B15="","",Base_Dados!$B$2)</f>
        <v/>
      </c>
    </row>
    <row r="16">
      <c r="A16" s="4">
        <f>IF($B16="","","FIN-"&amp;TEXT(ROW()-1,"0000"))</f>
        <v/>
      </c>
      <c r="B16" s="4" t="n"/>
      <c r="C16" s="5" t="n"/>
      <c r="D16" s="4" t="n"/>
      <c r="E16" s="10" t="n"/>
      <c r="F16" s="9">
        <f>IF($B16="","",IF($B16="Aporte","Entrada",IF($B16="Outras Entradas","Entrada",IF($B16="Outras Saídas","Saída","Custo (Caixa só no Pagamento)"))))</f>
        <v/>
      </c>
      <c r="G16" s="11">
        <f>IF($B16="Aporte",$E16,"")</f>
        <v/>
      </c>
      <c r="H16" s="11">
        <f>IF($B16="Despesa/Custo",$E16,"")</f>
        <v/>
      </c>
      <c r="I16" s="11">
        <f>IF($B16="Despesa/Custo",SUMIFS(Pagamentos!$D:$D,Pagamentos!$F:$F,$A16),"")</f>
        <v/>
      </c>
      <c r="J16" s="11">
        <f>IF($B16="Despesa/Custo",$H16-$I16,"")</f>
        <v/>
      </c>
      <c r="K16" s="4" t="n"/>
      <c r="L16" s="4" t="n"/>
      <c r="M16" s="4">
        <f>IF($B16="","",Base_Dados!$B$2)</f>
        <v/>
      </c>
    </row>
    <row r="17">
      <c r="A17" s="4">
        <f>IF($B17="","","FIN-"&amp;TEXT(ROW()-1,"0000"))</f>
        <v/>
      </c>
      <c r="B17" s="4" t="n"/>
      <c r="C17" s="5" t="n"/>
      <c r="D17" s="4" t="n"/>
      <c r="E17" s="10" t="n"/>
      <c r="F17" s="9">
        <f>IF($B17="","",IF($B17="Aporte","Entrada",IF($B17="Outras Entradas","Entrada",IF($B17="Outras Saídas","Saída","Custo (Caixa só no Pagamento)"))))</f>
        <v/>
      </c>
      <c r="G17" s="11">
        <f>IF($B17="Aporte",$E17,"")</f>
        <v/>
      </c>
      <c r="H17" s="11">
        <f>IF($B17="Despesa/Custo",$E17,"")</f>
        <v/>
      </c>
      <c r="I17" s="11">
        <f>IF($B17="Despesa/Custo",SUMIFS(Pagamentos!$D:$D,Pagamentos!$F:$F,$A17),"")</f>
        <v/>
      </c>
      <c r="J17" s="11">
        <f>IF($B17="Despesa/Custo",$H17-$I17,"")</f>
        <v/>
      </c>
      <c r="K17" s="4" t="n"/>
      <c r="L17" s="4" t="n"/>
      <c r="M17" s="4">
        <f>IF($B17="","",Base_Dados!$B$2)</f>
        <v/>
      </c>
    </row>
    <row r="18">
      <c r="A18" s="4">
        <f>IF($B18="","","FIN-"&amp;TEXT(ROW()-1,"0000"))</f>
        <v/>
      </c>
      <c r="B18" s="4" t="n"/>
      <c r="C18" s="5" t="n"/>
      <c r="D18" s="4" t="n"/>
      <c r="E18" s="10" t="n"/>
      <c r="F18" s="9">
        <f>IF($B18="","",IF($B18="Aporte","Entrada",IF($B18="Outras Entradas","Entrada",IF($B18="Outras Saídas","Saída","Custo (Caixa só no Pagamento)"))))</f>
        <v/>
      </c>
      <c r="G18" s="11">
        <f>IF($B18="Aporte",$E18,"")</f>
        <v/>
      </c>
      <c r="H18" s="11">
        <f>IF($B18="Despesa/Custo",$E18,"")</f>
        <v/>
      </c>
      <c r="I18" s="11">
        <f>IF($B18="Despesa/Custo",SUMIFS(Pagamentos!$D:$D,Pagamentos!$F:$F,$A18),"")</f>
        <v/>
      </c>
      <c r="J18" s="11">
        <f>IF($B18="Despesa/Custo",$H18-$I18,"")</f>
        <v/>
      </c>
      <c r="K18" s="4" t="n"/>
      <c r="L18" s="4" t="n"/>
      <c r="M18" s="4">
        <f>IF($B18="","",Base_Dados!$B$2)</f>
        <v/>
      </c>
    </row>
    <row r="19">
      <c r="A19" s="4">
        <f>IF($B19="","","FIN-"&amp;TEXT(ROW()-1,"0000"))</f>
        <v/>
      </c>
      <c r="B19" s="4" t="n"/>
      <c r="C19" s="5" t="n"/>
      <c r="D19" s="4" t="n"/>
      <c r="E19" s="10" t="n"/>
      <c r="F19" s="9">
        <f>IF($B19="","",IF($B19="Aporte","Entrada",IF($B19="Outras Entradas","Entrada",IF($B19="Outras Saídas","Saída","Custo (Caixa só no Pagamento)"))))</f>
        <v/>
      </c>
      <c r="G19" s="11">
        <f>IF($B19="Aporte",$E19,"")</f>
        <v/>
      </c>
      <c r="H19" s="11">
        <f>IF($B19="Despesa/Custo",$E19,"")</f>
        <v/>
      </c>
      <c r="I19" s="11">
        <f>IF($B19="Despesa/Custo",SUMIFS(Pagamentos!$D:$D,Pagamentos!$F:$F,$A19),"")</f>
        <v/>
      </c>
      <c r="J19" s="11">
        <f>IF($B19="Despesa/Custo",$H19-$I19,"")</f>
        <v/>
      </c>
      <c r="K19" s="4" t="n"/>
      <c r="L19" s="4" t="n"/>
      <c r="M19" s="4">
        <f>IF($B19="","",Base_Dados!$B$2)</f>
        <v/>
      </c>
    </row>
    <row r="20">
      <c r="A20" s="4">
        <f>IF($B20="","","FIN-"&amp;TEXT(ROW()-1,"0000"))</f>
        <v/>
      </c>
      <c r="B20" s="4" t="n"/>
      <c r="C20" s="5" t="n"/>
      <c r="D20" s="4" t="n"/>
      <c r="E20" s="10" t="n"/>
      <c r="F20" s="9">
        <f>IF($B20="","",IF($B20="Aporte","Entrada",IF($B20="Outras Entradas","Entrada",IF($B20="Outras Saídas","Saída","Custo (Caixa só no Pagamento)"))))</f>
        <v/>
      </c>
      <c r="G20" s="11">
        <f>IF($B20="Aporte",$E20,"")</f>
        <v/>
      </c>
      <c r="H20" s="11">
        <f>IF($B20="Despesa/Custo",$E20,"")</f>
        <v/>
      </c>
      <c r="I20" s="11">
        <f>IF($B20="Despesa/Custo",SUMIFS(Pagamentos!$D:$D,Pagamentos!$F:$F,$A20),"")</f>
        <v/>
      </c>
      <c r="J20" s="11">
        <f>IF($B20="Despesa/Custo",$H20-$I20,"")</f>
        <v/>
      </c>
      <c r="K20" s="4" t="n"/>
      <c r="L20" s="4" t="n"/>
      <c r="M20" s="4">
        <f>IF($B20="","",Base_Dados!$B$2)</f>
        <v/>
      </c>
    </row>
    <row r="21">
      <c r="A21" s="4">
        <f>IF($B21="","","FIN-"&amp;TEXT(ROW()-1,"0000"))</f>
        <v/>
      </c>
      <c r="B21" s="4" t="n"/>
      <c r="C21" s="5" t="n"/>
      <c r="D21" s="4" t="n"/>
      <c r="E21" s="10" t="n"/>
      <c r="F21" s="9">
        <f>IF($B21="","",IF($B21="Aporte","Entrada",IF($B21="Outras Entradas","Entrada",IF($B21="Outras Saídas","Saída","Custo (Caixa só no Pagamento)"))))</f>
        <v/>
      </c>
      <c r="G21" s="11">
        <f>IF($B21="Aporte",$E21,"")</f>
        <v/>
      </c>
      <c r="H21" s="11">
        <f>IF($B21="Despesa/Custo",$E21,"")</f>
        <v/>
      </c>
      <c r="I21" s="11">
        <f>IF($B21="Despesa/Custo",SUMIFS(Pagamentos!$D:$D,Pagamentos!$F:$F,$A21),"")</f>
        <v/>
      </c>
      <c r="J21" s="11">
        <f>IF($B21="Despesa/Custo",$H21-$I21,"")</f>
        <v/>
      </c>
      <c r="K21" s="4" t="n"/>
      <c r="L21" s="4" t="n"/>
      <c r="M21" s="4">
        <f>IF($B21="","",Base_Dados!$B$2)</f>
        <v/>
      </c>
    </row>
    <row r="22">
      <c r="A22" s="4">
        <f>IF($B22="","","FIN-"&amp;TEXT(ROW()-1,"0000"))</f>
        <v/>
      </c>
      <c r="B22" s="4" t="n"/>
      <c r="C22" s="5" t="n"/>
      <c r="D22" s="4" t="n"/>
      <c r="E22" s="10" t="n"/>
      <c r="F22" s="9">
        <f>IF($B22="","",IF($B22="Aporte","Entrada",IF($B22="Outras Entradas","Entrada",IF($B22="Outras Saídas","Saída","Custo (Caixa só no Pagamento)"))))</f>
        <v/>
      </c>
      <c r="G22" s="11">
        <f>IF($B22="Aporte",$E22,"")</f>
        <v/>
      </c>
      <c r="H22" s="11">
        <f>IF($B22="Despesa/Custo",$E22,"")</f>
        <v/>
      </c>
      <c r="I22" s="11">
        <f>IF($B22="Despesa/Custo",SUMIFS(Pagamentos!$D:$D,Pagamentos!$F:$F,$A22),"")</f>
        <v/>
      </c>
      <c r="J22" s="11">
        <f>IF($B22="Despesa/Custo",$H22-$I22,"")</f>
        <v/>
      </c>
      <c r="K22" s="4" t="n"/>
      <c r="L22" s="4" t="n"/>
      <c r="M22" s="4">
        <f>IF($B22="","",Base_Dados!$B$2)</f>
        <v/>
      </c>
    </row>
    <row r="23">
      <c r="A23" s="4">
        <f>IF($B23="","","FIN-"&amp;TEXT(ROW()-1,"0000"))</f>
        <v/>
      </c>
      <c r="B23" s="4" t="n"/>
      <c r="C23" s="5" t="n"/>
      <c r="D23" s="4" t="n"/>
      <c r="E23" s="10" t="n"/>
      <c r="F23" s="9">
        <f>IF($B23="","",IF($B23="Aporte","Entrada",IF($B23="Outras Entradas","Entrada",IF($B23="Outras Saídas","Saída","Custo (Caixa só no Pagamento)"))))</f>
        <v/>
      </c>
      <c r="G23" s="11">
        <f>IF($B23="Aporte",$E23,"")</f>
        <v/>
      </c>
      <c r="H23" s="11">
        <f>IF($B23="Despesa/Custo",$E23,"")</f>
        <v/>
      </c>
      <c r="I23" s="11">
        <f>IF($B23="Despesa/Custo",SUMIFS(Pagamentos!$D:$D,Pagamentos!$F:$F,$A23),"")</f>
        <v/>
      </c>
      <c r="J23" s="11">
        <f>IF($B23="Despesa/Custo",$H23-$I23,"")</f>
        <v/>
      </c>
      <c r="K23" s="4" t="n"/>
      <c r="L23" s="4" t="n"/>
      <c r="M23" s="4">
        <f>IF($B23="","",Base_Dados!$B$2)</f>
        <v/>
      </c>
    </row>
    <row r="24">
      <c r="A24" s="4">
        <f>IF($B24="","","FIN-"&amp;TEXT(ROW()-1,"0000"))</f>
        <v/>
      </c>
      <c r="B24" s="4" t="n"/>
      <c r="C24" s="5" t="n"/>
      <c r="D24" s="4" t="n"/>
      <c r="E24" s="10" t="n"/>
      <c r="F24" s="9">
        <f>IF($B24="","",IF($B24="Aporte","Entrada",IF($B24="Outras Entradas","Entrada",IF($B24="Outras Saídas","Saída","Custo (Caixa só no Pagamento)"))))</f>
        <v/>
      </c>
      <c r="G24" s="11">
        <f>IF($B24="Aporte",$E24,"")</f>
        <v/>
      </c>
      <c r="H24" s="11">
        <f>IF($B24="Despesa/Custo",$E24,"")</f>
        <v/>
      </c>
      <c r="I24" s="11">
        <f>IF($B24="Despesa/Custo",SUMIFS(Pagamentos!$D:$D,Pagamentos!$F:$F,$A24),"")</f>
        <v/>
      </c>
      <c r="J24" s="11">
        <f>IF($B24="Despesa/Custo",$H24-$I24,"")</f>
        <v/>
      </c>
      <c r="K24" s="4" t="n"/>
      <c r="L24" s="4" t="n"/>
      <c r="M24" s="4">
        <f>IF($B24="","",Base_Dados!$B$2)</f>
        <v/>
      </c>
    </row>
    <row r="25">
      <c r="A25" s="4">
        <f>IF($B25="","","FIN-"&amp;TEXT(ROW()-1,"0000"))</f>
        <v/>
      </c>
      <c r="B25" s="4" t="n"/>
      <c r="C25" s="5" t="n"/>
      <c r="D25" s="4" t="n"/>
      <c r="E25" s="10" t="n"/>
      <c r="F25" s="9">
        <f>IF($B25="","",IF($B25="Aporte","Entrada",IF($B25="Outras Entradas","Entrada",IF($B25="Outras Saídas","Saída","Custo (Caixa só no Pagamento)"))))</f>
        <v/>
      </c>
      <c r="G25" s="11">
        <f>IF($B25="Aporte",$E25,"")</f>
        <v/>
      </c>
      <c r="H25" s="11">
        <f>IF($B25="Despesa/Custo",$E25,"")</f>
        <v/>
      </c>
      <c r="I25" s="11">
        <f>IF($B25="Despesa/Custo",SUMIFS(Pagamentos!$D:$D,Pagamentos!$F:$F,$A25),"")</f>
        <v/>
      </c>
      <c r="J25" s="11">
        <f>IF($B25="Despesa/Custo",$H25-$I25,"")</f>
        <v/>
      </c>
      <c r="K25" s="4" t="n"/>
      <c r="L25" s="4" t="n"/>
      <c r="M25" s="4">
        <f>IF($B25="","",Base_Dados!$B$2)</f>
        <v/>
      </c>
    </row>
    <row r="26">
      <c r="A26" s="4">
        <f>IF($B26="","","FIN-"&amp;TEXT(ROW()-1,"0000"))</f>
        <v/>
      </c>
      <c r="B26" s="4" t="n"/>
      <c r="C26" s="5" t="n"/>
      <c r="D26" s="4" t="n"/>
      <c r="E26" s="10" t="n"/>
      <c r="F26" s="9">
        <f>IF($B26="","",IF($B26="Aporte","Entrada",IF($B26="Outras Entradas","Entrada",IF($B26="Outras Saídas","Saída","Custo (Caixa só no Pagamento)"))))</f>
        <v/>
      </c>
      <c r="G26" s="11">
        <f>IF($B26="Aporte",$E26,"")</f>
        <v/>
      </c>
      <c r="H26" s="11">
        <f>IF($B26="Despesa/Custo",$E26,"")</f>
        <v/>
      </c>
      <c r="I26" s="11">
        <f>IF($B26="Despesa/Custo",SUMIFS(Pagamentos!$D:$D,Pagamentos!$F:$F,$A26),"")</f>
        <v/>
      </c>
      <c r="J26" s="11">
        <f>IF($B26="Despesa/Custo",$H26-$I26,"")</f>
        <v/>
      </c>
      <c r="K26" s="4" t="n"/>
      <c r="L26" s="4" t="n"/>
      <c r="M26" s="4">
        <f>IF($B26="","",Base_Dados!$B$2)</f>
        <v/>
      </c>
    </row>
    <row r="27">
      <c r="A27" s="4">
        <f>IF($B27="","","FIN-"&amp;TEXT(ROW()-1,"0000"))</f>
        <v/>
      </c>
      <c r="B27" s="4" t="n"/>
      <c r="C27" s="5" t="n"/>
      <c r="D27" s="4" t="n"/>
      <c r="E27" s="10" t="n"/>
      <c r="F27" s="9">
        <f>IF($B27="","",IF($B27="Aporte","Entrada",IF($B27="Outras Entradas","Entrada",IF($B27="Outras Saídas","Saída","Custo (Caixa só no Pagamento)"))))</f>
        <v/>
      </c>
      <c r="G27" s="11">
        <f>IF($B27="Aporte",$E27,"")</f>
        <v/>
      </c>
      <c r="H27" s="11">
        <f>IF($B27="Despesa/Custo",$E27,"")</f>
        <v/>
      </c>
      <c r="I27" s="11">
        <f>IF($B27="Despesa/Custo",SUMIFS(Pagamentos!$D:$D,Pagamentos!$F:$F,$A27),"")</f>
        <v/>
      </c>
      <c r="J27" s="11">
        <f>IF($B27="Despesa/Custo",$H27-$I27,"")</f>
        <v/>
      </c>
      <c r="K27" s="4" t="n"/>
      <c r="L27" s="4" t="n"/>
      <c r="M27" s="4">
        <f>IF($B27="","",Base_Dados!$B$2)</f>
        <v/>
      </c>
    </row>
    <row r="28">
      <c r="A28" s="4">
        <f>IF($B28="","","FIN-"&amp;TEXT(ROW()-1,"0000"))</f>
        <v/>
      </c>
      <c r="B28" s="4" t="n"/>
      <c r="C28" s="5" t="n"/>
      <c r="D28" s="4" t="n"/>
      <c r="E28" s="10" t="n"/>
      <c r="F28" s="9">
        <f>IF($B28="","",IF($B28="Aporte","Entrada",IF($B28="Outras Entradas","Entrada",IF($B28="Outras Saídas","Saída","Custo (Caixa só no Pagamento)"))))</f>
        <v/>
      </c>
      <c r="G28" s="11">
        <f>IF($B28="Aporte",$E28,"")</f>
        <v/>
      </c>
      <c r="H28" s="11">
        <f>IF($B28="Despesa/Custo",$E28,"")</f>
        <v/>
      </c>
      <c r="I28" s="11">
        <f>IF($B28="Despesa/Custo",SUMIFS(Pagamentos!$D:$D,Pagamentos!$F:$F,$A28),"")</f>
        <v/>
      </c>
      <c r="J28" s="11">
        <f>IF($B28="Despesa/Custo",$H28-$I28,"")</f>
        <v/>
      </c>
      <c r="K28" s="4" t="n"/>
      <c r="L28" s="4" t="n"/>
      <c r="M28" s="4">
        <f>IF($B28="","",Base_Dados!$B$2)</f>
        <v/>
      </c>
    </row>
    <row r="29">
      <c r="A29" s="4">
        <f>IF($B29="","","FIN-"&amp;TEXT(ROW()-1,"0000"))</f>
        <v/>
      </c>
      <c r="B29" s="4" t="n"/>
      <c r="C29" s="5" t="n"/>
      <c r="D29" s="4" t="n"/>
      <c r="E29" s="10" t="n"/>
      <c r="F29" s="9">
        <f>IF($B29="","",IF($B29="Aporte","Entrada",IF($B29="Outras Entradas","Entrada",IF($B29="Outras Saídas","Saída","Custo (Caixa só no Pagamento)"))))</f>
        <v/>
      </c>
      <c r="G29" s="11">
        <f>IF($B29="Aporte",$E29,"")</f>
        <v/>
      </c>
      <c r="H29" s="11">
        <f>IF($B29="Despesa/Custo",$E29,"")</f>
        <v/>
      </c>
      <c r="I29" s="11">
        <f>IF($B29="Despesa/Custo",SUMIFS(Pagamentos!$D:$D,Pagamentos!$F:$F,$A29),"")</f>
        <v/>
      </c>
      <c r="J29" s="11">
        <f>IF($B29="Despesa/Custo",$H29-$I29,"")</f>
        <v/>
      </c>
      <c r="K29" s="4" t="n"/>
      <c r="L29" s="4" t="n"/>
      <c r="M29" s="4">
        <f>IF($B29="","",Base_Dados!$B$2)</f>
        <v/>
      </c>
    </row>
    <row r="30">
      <c r="A30" s="4">
        <f>IF($B30="","","FIN-"&amp;TEXT(ROW()-1,"0000"))</f>
        <v/>
      </c>
      <c r="B30" s="4" t="n"/>
      <c r="C30" s="5" t="n"/>
      <c r="D30" s="4" t="n"/>
      <c r="E30" s="10" t="n"/>
      <c r="F30" s="9">
        <f>IF($B30="","",IF($B30="Aporte","Entrada",IF($B30="Outras Entradas","Entrada",IF($B30="Outras Saídas","Saída","Custo (Caixa só no Pagamento)"))))</f>
        <v/>
      </c>
      <c r="G30" s="11">
        <f>IF($B30="Aporte",$E30,"")</f>
        <v/>
      </c>
      <c r="H30" s="11">
        <f>IF($B30="Despesa/Custo",$E30,"")</f>
        <v/>
      </c>
      <c r="I30" s="11">
        <f>IF($B30="Despesa/Custo",SUMIFS(Pagamentos!$D:$D,Pagamentos!$F:$F,$A30),"")</f>
        <v/>
      </c>
      <c r="J30" s="11">
        <f>IF($B30="Despesa/Custo",$H30-$I30,"")</f>
        <v/>
      </c>
      <c r="K30" s="4" t="n"/>
      <c r="L30" s="4" t="n"/>
      <c r="M30" s="4">
        <f>IF($B30="","",Base_Dados!$B$2)</f>
        <v/>
      </c>
    </row>
    <row r="31">
      <c r="A31" s="4">
        <f>IF($B31="","","FIN-"&amp;TEXT(ROW()-1,"0000"))</f>
        <v/>
      </c>
      <c r="B31" s="4" t="n"/>
      <c r="C31" s="5" t="n"/>
      <c r="D31" s="4" t="n"/>
      <c r="E31" s="10" t="n"/>
      <c r="F31" s="9">
        <f>IF($B31="","",IF($B31="Aporte","Entrada",IF($B31="Outras Entradas","Entrada",IF($B31="Outras Saídas","Saída","Custo (Caixa só no Pagamento)"))))</f>
        <v/>
      </c>
      <c r="G31" s="11">
        <f>IF($B31="Aporte",$E31,"")</f>
        <v/>
      </c>
      <c r="H31" s="11">
        <f>IF($B31="Despesa/Custo",$E31,"")</f>
        <v/>
      </c>
      <c r="I31" s="11">
        <f>IF($B31="Despesa/Custo",SUMIFS(Pagamentos!$D:$D,Pagamentos!$F:$F,$A31),"")</f>
        <v/>
      </c>
      <c r="J31" s="11">
        <f>IF($B31="Despesa/Custo",$H31-$I31,"")</f>
        <v/>
      </c>
      <c r="K31" s="4" t="n"/>
      <c r="L31" s="4" t="n"/>
      <c r="M31" s="4">
        <f>IF($B31="","",Base_Dados!$B$2)</f>
        <v/>
      </c>
    </row>
  </sheetData>
  <dataValidations count="3">
    <dataValidation sqref="B2:B31" showDropDown="0" showInputMessage="0" showErrorMessage="1" allowBlank="1" errorTitle="Tipo inválido" error="Selecione um dos tipos oficiais: Aporte, Outras Entradas, Despesa/Custo, Outras Saídas." type="list">
      <formula1>"Aporte,Outras Entradas,Despesa/Custo,Outras Saídas"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  <dataValidation sqref="D2:D31" showDropDown="0" showInputMessage="0" showErrorMessage="1" allowBlank="1" errorTitle="Descrição duplicado" error="Já existe um registro com este mesmo descrição. Use um valor diferente para evitar vínculos ambíguos entre abas." type="custom">
      <formula1>=COUNTIF(TabelaFinanceiro[Descrição],D2)=1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16" customWidth="1" min="3" max="3"/>
    <col width="16" customWidth="1" min="4" max="4"/>
    <col width="30" customWidth="1" min="5" max="5"/>
    <col hidden="1" width="18" customWidth="1" min="6" max="6"/>
  </cols>
  <sheetData>
    <row r="1" ht="30" customHeight="1">
      <c r="A1" s="7" t="inlineStr">
        <is>
          <t>ID (técnico)</t>
        </is>
      </c>
      <c r="B1" s="7" t="inlineStr">
        <is>
          <t>Lançamento (Despesa/Custo)</t>
        </is>
      </c>
      <c r="C1" s="7" t="inlineStr">
        <is>
          <t>Data do Pagamento</t>
        </is>
      </c>
      <c r="D1" s="7" t="inlineStr">
        <is>
          <t>Valor Pago</t>
        </is>
      </c>
      <c r="E1" s="7" t="inlineStr">
        <is>
          <t>Observação</t>
        </is>
      </c>
      <c r="F1" s="7" t="inlineStr">
        <is>
          <t>ID_Financeiro (técnico)</t>
        </is>
      </c>
    </row>
    <row r="2">
      <c r="A2" s="4">
        <f>IF($B2="","","PGT-"&amp;TEXT(ROW()-1,"0000"))</f>
        <v/>
      </c>
      <c r="B2" s="4" t="n"/>
      <c r="C2" s="5" t="n"/>
      <c r="D2" s="10" t="n"/>
      <c r="E2" s="4" t="n"/>
      <c r="F2" s="4">
        <f>IF($B2="","",INDEX(Financeiro!$A:$A,MATCH($B2,Financeiro!$D:$D,0)))</f>
        <v/>
      </c>
    </row>
    <row r="3">
      <c r="A3" s="4">
        <f>IF($B3="","","PGT-"&amp;TEXT(ROW()-1,"0000"))</f>
        <v/>
      </c>
      <c r="B3" s="4" t="n"/>
      <c r="C3" s="5" t="n"/>
      <c r="D3" s="10" t="n"/>
      <c r="E3" s="4" t="n"/>
      <c r="F3" s="4">
        <f>IF($B3="","",INDEX(Financeiro!$A:$A,MATCH($B3,Financeiro!$D:$D,0)))</f>
        <v/>
      </c>
    </row>
    <row r="4">
      <c r="A4" s="4">
        <f>IF($B4="","","PGT-"&amp;TEXT(ROW()-1,"0000"))</f>
        <v/>
      </c>
      <c r="B4" s="4" t="n"/>
      <c r="C4" s="5" t="n"/>
      <c r="D4" s="10" t="n"/>
      <c r="E4" s="4" t="n"/>
      <c r="F4" s="4">
        <f>IF($B4="","",INDEX(Financeiro!$A:$A,MATCH($B4,Financeiro!$D:$D,0)))</f>
        <v/>
      </c>
    </row>
    <row r="5">
      <c r="A5" s="4">
        <f>IF($B5="","","PGT-"&amp;TEXT(ROW()-1,"0000"))</f>
        <v/>
      </c>
      <c r="B5" s="4" t="n"/>
      <c r="C5" s="5" t="n"/>
      <c r="D5" s="10" t="n"/>
      <c r="E5" s="4" t="n"/>
      <c r="F5" s="4">
        <f>IF($B5="","",INDEX(Financeiro!$A:$A,MATCH($B5,Financeiro!$D:$D,0)))</f>
        <v/>
      </c>
    </row>
    <row r="6">
      <c r="A6" s="4">
        <f>IF($B6="","","PGT-"&amp;TEXT(ROW()-1,"0000"))</f>
        <v/>
      </c>
      <c r="B6" s="4" t="n"/>
      <c r="C6" s="5" t="n"/>
      <c r="D6" s="10" t="n"/>
      <c r="E6" s="4" t="n"/>
      <c r="F6" s="4">
        <f>IF($B6="","",INDEX(Financeiro!$A:$A,MATCH($B6,Financeiro!$D:$D,0)))</f>
        <v/>
      </c>
    </row>
    <row r="7">
      <c r="A7" s="4">
        <f>IF($B7="","","PGT-"&amp;TEXT(ROW()-1,"0000"))</f>
        <v/>
      </c>
      <c r="B7" s="4" t="n"/>
      <c r="C7" s="5" t="n"/>
      <c r="D7" s="10" t="n"/>
      <c r="E7" s="4" t="n"/>
      <c r="F7" s="4">
        <f>IF($B7="","",INDEX(Financeiro!$A:$A,MATCH($B7,Financeiro!$D:$D,0)))</f>
        <v/>
      </c>
    </row>
    <row r="8">
      <c r="A8" s="4">
        <f>IF($B8="","","PGT-"&amp;TEXT(ROW()-1,"0000"))</f>
        <v/>
      </c>
      <c r="B8" s="4" t="n"/>
      <c r="C8" s="5" t="n"/>
      <c r="D8" s="10" t="n"/>
      <c r="E8" s="4" t="n"/>
      <c r="F8" s="4">
        <f>IF($B8="","",INDEX(Financeiro!$A:$A,MATCH($B8,Financeiro!$D:$D,0)))</f>
        <v/>
      </c>
    </row>
    <row r="9">
      <c r="A9" s="4">
        <f>IF($B9="","","PGT-"&amp;TEXT(ROW()-1,"0000"))</f>
        <v/>
      </c>
      <c r="B9" s="4" t="n"/>
      <c r="C9" s="5" t="n"/>
      <c r="D9" s="10" t="n"/>
      <c r="E9" s="4" t="n"/>
      <c r="F9" s="4">
        <f>IF($B9="","",INDEX(Financeiro!$A:$A,MATCH($B9,Financeiro!$D:$D,0)))</f>
        <v/>
      </c>
    </row>
    <row r="10">
      <c r="A10" s="4">
        <f>IF($B10="","","PGT-"&amp;TEXT(ROW()-1,"0000"))</f>
        <v/>
      </c>
      <c r="B10" s="4" t="n"/>
      <c r="C10" s="5" t="n"/>
      <c r="D10" s="10" t="n"/>
      <c r="E10" s="4" t="n"/>
      <c r="F10" s="4">
        <f>IF($B10="","",INDEX(Financeiro!$A:$A,MATCH($B10,Financeiro!$D:$D,0)))</f>
        <v/>
      </c>
    </row>
    <row r="11">
      <c r="A11" s="4">
        <f>IF($B11="","","PGT-"&amp;TEXT(ROW()-1,"0000"))</f>
        <v/>
      </c>
      <c r="B11" s="4" t="n"/>
      <c r="C11" s="5" t="n"/>
      <c r="D11" s="10" t="n"/>
      <c r="E11" s="4" t="n"/>
      <c r="F11" s="4">
        <f>IF($B11="","",INDEX(Financeiro!$A:$A,MATCH($B11,Financeiro!$D:$D,0)))</f>
        <v/>
      </c>
    </row>
    <row r="12">
      <c r="A12" s="4">
        <f>IF($B12="","","PGT-"&amp;TEXT(ROW()-1,"0000"))</f>
        <v/>
      </c>
      <c r="B12" s="4" t="n"/>
      <c r="C12" s="5" t="n"/>
      <c r="D12" s="10" t="n"/>
      <c r="E12" s="4" t="n"/>
      <c r="F12" s="4">
        <f>IF($B12="","",INDEX(Financeiro!$A:$A,MATCH($B12,Financeiro!$D:$D,0)))</f>
        <v/>
      </c>
    </row>
    <row r="13">
      <c r="A13" s="4">
        <f>IF($B13="","","PGT-"&amp;TEXT(ROW()-1,"0000"))</f>
        <v/>
      </c>
      <c r="B13" s="4" t="n"/>
      <c r="C13" s="5" t="n"/>
      <c r="D13" s="10" t="n"/>
      <c r="E13" s="4" t="n"/>
      <c r="F13" s="4">
        <f>IF($B13="","",INDEX(Financeiro!$A:$A,MATCH($B13,Financeiro!$D:$D,0)))</f>
        <v/>
      </c>
    </row>
    <row r="14">
      <c r="A14" s="4">
        <f>IF($B14="","","PGT-"&amp;TEXT(ROW()-1,"0000"))</f>
        <v/>
      </c>
      <c r="B14" s="4" t="n"/>
      <c r="C14" s="5" t="n"/>
      <c r="D14" s="10" t="n"/>
      <c r="E14" s="4" t="n"/>
      <c r="F14" s="4">
        <f>IF($B14="","",INDEX(Financeiro!$A:$A,MATCH($B14,Financeiro!$D:$D,0)))</f>
        <v/>
      </c>
    </row>
    <row r="15">
      <c r="A15" s="4">
        <f>IF($B15="","","PGT-"&amp;TEXT(ROW()-1,"0000"))</f>
        <v/>
      </c>
      <c r="B15" s="4" t="n"/>
      <c r="C15" s="5" t="n"/>
      <c r="D15" s="10" t="n"/>
      <c r="E15" s="4" t="n"/>
      <c r="F15" s="4">
        <f>IF($B15="","",INDEX(Financeiro!$A:$A,MATCH($B15,Financeiro!$D:$D,0)))</f>
        <v/>
      </c>
    </row>
    <row r="16">
      <c r="A16" s="4">
        <f>IF($B16="","","PGT-"&amp;TEXT(ROW()-1,"0000"))</f>
        <v/>
      </c>
      <c r="B16" s="4" t="n"/>
      <c r="C16" s="5" t="n"/>
      <c r="D16" s="10" t="n"/>
      <c r="E16" s="4" t="n"/>
      <c r="F16" s="4">
        <f>IF($B16="","",INDEX(Financeiro!$A:$A,MATCH($B16,Financeiro!$D:$D,0)))</f>
        <v/>
      </c>
    </row>
    <row r="17">
      <c r="A17" s="4">
        <f>IF($B17="","","PGT-"&amp;TEXT(ROW()-1,"0000"))</f>
        <v/>
      </c>
      <c r="B17" s="4" t="n"/>
      <c r="C17" s="5" t="n"/>
      <c r="D17" s="10" t="n"/>
      <c r="E17" s="4" t="n"/>
      <c r="F17" s="4">
        <f>IF($B17="","",INDEX(Financeiro!$A:$A,MATCH($B17,Financeiro!$D:$D,0)))</f>
        <v/>
      </c>
    </row>
    <row r="18">
      <c r="A18" s="4">
        <f>IF($B18="","","PGT-"&amp;TEXT(ROW()-1,"0000"))</f>
        <v/>
      </c>
      <c r="B18" s="4" t="n"/>
      <c r="C18" s="5" t="n"/>
      <c r="D18" s="10" t="n"/>
      <c r="E18" s="4" t="n"/>
      <c r="F18" s="4">
        <f>IF($B18="","",INDEX(Financeiro!$A:$A,MATCH($B18,Financeiro!$D:$D,0)))</f>
        <v/>
      </c>
    </row>
    <row r="19">
      <c r="A19" s="4">
        <f>IF($B19="","","PGT-"&amp;TEXT(ROW()-1,"0000"))</f>
        <v/>
      </c>
      <c r="B19" s="4" t="n"/>
      <c r="C19" s="5" t="n"/>
      <c r="D19" s="10" t="n"/>
      <c r="E19" s="4" t="n"/>
      <c r="F19" s="4">
        <f>IF($B19="","",INDEX(Financeiro!$A:$A,MATCH($B19,Financeiro!$D:$D,0)))</f>
        <v/>
      </c>
    </row>
    <row r="20">
      <c r="A20" s="4">
        <f>IF($B20="","","PGT-"&amp;TEXT(ROW()-1,"0000"))</f>
        <v/>
      </c>
      <c r="B20" s="4" t="n"/>
      <c r="C20" s="5" t="n"/>
      <c r="D20" s="10" t="n"/>
      <c r="E20" s="4" t="n"/>
      <c r="F20" s="4">
        <f>IF($B20="","",INDEX(Financeiro!$A:$A,MATCH($B20,Financeiro!$D:$D,0)))</f>
        <v/>
      </c>
    </row>
    <row r="21">
      <c r="A21" s="4">
        <f>IF($B21="","","PGT-"&amp;TEXT(ROW()-1,"0000"))</f>
        <v/>
      </c>
      <c r="B21" s="4" t="n"/>
      <c r="C21" s="5" t="n"/>
      <c r="D21" s="10" t="n"/>
      <c r="E21" s="4" t="n"/>
      <c r="F21" s="4">
        <f>IF($B21="","",INDEX(Financeiro!$A:$A,MATCH($B21,Financeiro!$D:$D,0)))</f>
        <v/>
      </c>
    </row>
    <row r="22">
      <c r="A22" s="4">
        <f>IF($B22="","","PGT-"&amp;TEXT(ROW()-1,"0000"))</f>
        <v/>
      </c>
      <c r="B22" s="4" t="n"/>
      <c r="C22" s="5" t="n"/>
      <c r="D22" s="10" t="n"/>
      <c r="E22" s="4" t="n"/>
      <c r="F22" s="4">
        <f>IF($B22="","",INDEX(Financeiro!$A:$A,MATCH($B22,Financeiro!$D:$D,0)))</f>
        <v/>
      </c>
    </row>
    <row r="23">
      <c r="A23" s="4">
        <f>IF($B23="","","PGT-"&amp;TEXT(ROW()-1,"0000"))</f>
        <v/>
      </c>
      <c r="B23" s="4" t="n"/>
      <c r="C23" s="5" t="n"/>
      <c r="D23" s="10" t="n"/>
      <c r="E23" s="4" t="n"/>
      <c r="F23" s="4">
        <f>IF($B23="","",INDEX(Financeiro!$A:$A,MATCH($B23,Financeiro!$D:$D,0)))</f>
        <v/>
      </c>
    </row>
    <row r="24">
      <c r="A24" s="4">
        <f>IF($B24="","","PGT-"&amp;TEXT(ROW()-1,"0000"))</f>
        <v/>
      </c>
      <c r="B24" s="4" t="n"/>
      <c r="C24" s="5" t="n"/>
      <c r="D24" s="10" t="n"/>
      <c r="E24" s="4" t="n"/>
      <c r="F24" s="4">
        <f>IF($B24="","",INDEX(Financeiro!$A:$A,MATCH($B24,Financeiro!$D:$D,0)))</f>
        <v/>
      </c>
    </row>
    <row r="25">
      <c r="A25" s="4">
        <f>IF($B25="","","PGT-"&amp;TEXT(ROW()-1,"0000"))</f>
        <v/>
      </c>
      <c r="B25" s="4" t="n"/>
      <c r="C25" s="5" t="n"/>
      <c r="D25" s="10" t="n"/>
      <c r="E25" s="4" t="n"/>
      <c r="F25" s="4">
        <f>IF($B25="","",INDEX(Financeiro!$A:$A,MATCH($B25,Financeiro!$D:$D,0)))</f>
        <v/>
      </c>
    </row>
    <row r="26">
      <c r="A26" s="4">
        <f>IF($B26="","","PGT-"&amp;TEXT(ROW()-1,"0000"))</f>
        <v/>
      </c>
      <c r="B26" s="4" t="n"/>
      <c r="C26" s="5" t="n"/>
      <c r="D26" s="10" t="n"/>
      <c r="E26" s="4" t="n"/>
      <c r="F26" s="4">
        <f>IF($B26="","",INDEX(Financeiro!$A:$A,MATCH($B26,Financeiro!$D:$D,0)))</f>
        <v/>
      </c>
    </row>
    <row r="27">
      <c r="A27" s="4">
        <f>IF($B27="","","PGT-"&amp;TEXT(ROW()-1,"0000"))</f>
        <v/>
      </c>
      <c r="B27" s="4" t="n"/>
      <c r="C27" s="5" t="n"/>
      <c r="D27" s="10" t="n"/>
      <c r="E27" s="4" t="n"/>
      <c r="F27" s="4">
        <f>IF($B27="","",INDEX(Financeiro!$A:$A,MATCH($B27,Financeiro!$D:$D,0)))</f>
        <v/>
      </c>
    </row>
    <row r="28">
      <c r="A28" s="4">
        <f>IF($B28="","","PGT-"&amp;TEXT(ROW()-1,"0000"))</f>
        <v/>
      </c>
      <c r="B28" s="4" t="n"/>
      <c r="C28" s="5" t="n"/>
      <c r="D28" s="10" t="n"/>
      <c r="E28" s="4" t="n"/>
      <c r="F28" s="4">
        <f>IF($B28="","",INDEX(Financeiro!$A:$A,MATCH($B28,Financeiro!$D:$D,0)))</f>
        <v/>
      </c>
    </row>
    <row r="29">
      <c r="A29" s="4">
        <f>IF($B29="","","PGT-"&amp;TEXT(ROW()-1,"0000"))</f>
        <v/>
      </c>
      <c r="B29" s="4" t="n"/>
      <c r="C29" s="5" t="n"/>
      <c r="D29" s="10" t="n"/>
      <c r="E29" s="4" t="n"/>
      <c r="F29" s="4">
        <f>IF($B29="","",INDEX(Financeiro!$A:$A,MATCH($B29,Financeiro!$D:$D,0)))</f>
        <v/>
      </c>
    </row>
    <row r="30">
      <c r="A30" s="4">
        <f>IF($B30="","","PGT-"&amp;TEXT(ROW()-1,"0000"))</f>
        <v/>
      </c>
      <c r="B30" s="4" t="n"/>
      <c r="C30" s="5" t="n"/>
      <c r="D30" s="10" t="n"/>
      <c r="E30" s="4" t="n"/>
      <c r="F30" s="4">
        <f>IF($B30="","",INDEX(Financeiro!$A:$A,MATCH($B30,Financeiro!$D:$D,0)))</f>
        <v/>
      </c>
    </row>
    <row r="31">
      <c r="A31" s="4">
        <f>IF($B31="","","PGT-"&amp;TEXT(ROW()-1,"0000"))</f>
        <v/>
      </c>
      <c r="B31" s="4" t="n"/>
      <c r="C31" s="5" t="n"/>
      <c r="D31" s="10" t="n"/>
      <c r="E31" s="4" t="n"/>
      <c r="F31" s="4">
        <f>IF($B31="","",INDEX(Financeiro!$A:$A,MATCH($B31,Financeiro!$D:$D,0)))</f>
        <v/>
      </c>
    </row>
  </sheetData>
  <dataValidations count="2">
    <dataValidation sqref="B2:B31" showDropDown="0" showInputMessage="0" showErrorMessage="1" allowBlank="1" errorTitle="Lançamento inválido" error="Selecione um lançamento já cadastrado na aba Financeiro." type="list">
      <formula1>Lista_Financeiro_Descricoes</formula1>
    </dataValidation>
    <dataValidation sqref="D2:D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6" customWidth="1" min="2" max="2"/>
    <col width="14" customWidth="1" min="3" max="3"/>
    <col width="34" customWidth="1" min="4" max="4"/>
    <col width="20" customWidth="1" min="5" max="5"/>
    <col width="20" customWidth="1" min="6" max="6"/>
    <col width="18" customWidth="1" min="7" max="7"/>
    <col width="22" customWidth="1" min="8" max="8"/>
    <col hidden="1" width="16" customWidth="1" min="9" max="9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Impacto no Orçamento</t>
        </is>
      </c>
      <c r="F1" s="7" t="inlineStr">
        <is>
          <t>Impacto no Prazo (dias)</t>
        </is>
      </c>
      <c r="G1" s="7" t="inlineStr">
        <is>
          <t>Status de Aprovação</t>
        </is>
      </c>
      <c r="H1" s="7" t="inlineStr">
        <is>
          <t>Solicitante</t>
        </is>
      </c>
      <c r="I1" s="7" t="inlineStr">
        <is>
          <t>ID_Obra (técnico)</t>
        </is>
      </c>
    </row>
    <row r="2">
      <c r="A2" s="4">
        <f>IF($D2="","","ALT-"&amp;TEXT(ROW()-1,"0000"))</f>
        <v/>
      </c>
      <c r="B2" s="4" t="n"/>
      <c r="C2" s="5" t="n"/>
      <c r="D2" s="4" t="n"/>
      <c r="E2" s="10" t="n"/>
      <c r="F2" s="4" t="n"/>
      <c r="G2" s="4" t="n"/>
      <c r="H2" s="4" t="n"/>
      <c r="I2" s="4">
        <f>IF($D2="","",Base_Dados!$B$2)</f>
        <v/>
      </c>
    </row>
    <row r="3">
      <c r="A3" s="4">
        <f>IF($D3="","","ALT-"&amp;TEXT(ROW()-1,"0000"))</f>
        <v/>
      </c>
      <c r="B3" s="4" t="n"/>
      <c r="C3" s="5" t="n"/>
      <c r="D3" s="4" t="n"/>
      <c r="E3" s="10" t="n"/>
      <c r="F3" s="4" t="n"/>
      <c r="G3" s="4" t="n"/>
      <c r="H3" s="4" t="n"/>
      <c r="I3" s="4">
        <f>IF($D3="","",Base_Dados!$B$2)</f>
        <v/>
      </c>
    </row>
    <row r="4">
      <c r="A4" s="4">
        <f>IF($D4="","","ALT-"&amp;TEXT(ROW()-1,"0000"))</f>
        <v/>
      </c>
      <c r="B4" s="4" t="n"/>
      <c r="C4" s="5" t="n"/>
      <c r="D4" s="4" t="n"/>
      <c r="E4" s="10" t="n"/>
      <c r="F4" s="4" t="n"/>
      <c r="G4" s="4" t="n"/>
      <c r="H4" s="4" t="n"/>
      <c r="I4" s="4">
        <f>IF($D4="","",Base_Dados!$B$2)</f>
        <v/>
      </c>
    </row>
    <row r="5">
      <c r="A5" s="4">
        <f>IF($D5="","","ALT-"&amp;TEXT(ROW()-1,"0000"))</f>
        <v/>
      </c>
      <c r="B5" s="4" t="n"/>
      <c r="C5" s="5" t="n"/>
      <c r="D5" s="4" t="n"/>
      <c r="E5" s="10" t="n"/>
      <c r="F5" s="4" t="n"/>
      <c r="G5" s="4" t="n"/>
      <c r="H5" s="4" t="n"/>
      <c r="I5" s="4">
        <f>IF($D5="","",Base_Dados!$B$2)</f>
        <v/>
      </c>
    </row>
    <row r="6">
      <c r="A6" s="4">
        <f>IF($D6="","","ALT-"&amp;TEXT(ROW()-1,"0000"))</f>
        <v/>
      </c>
      <c r="B6" s="4" t="n"/>
      <c r="C6" s="5" t="n"/>
      <c r="D6" s="4" t="n"/>
      <c r="E6" s="10" t="n"/>
      <c r="F6" s="4" t="n"/>
      <c r="G6" s="4" t="n"/>
      <c r="H6" s="4" t="n"/>
      <c r="I6" s="4">
        <f>IF($D6="","",Base_Dados!$B$2)</f>
        <v/>
      </c>
    </row>
    <row r="7">
      <c r="A7" s="4">
        <f>IF($D7="","","ALT-"&amp;TEXT(ROW()-1,"0000"))</f>
        <v/>
      </c>
      <c r="B7" s="4" t="n"/>
      <c r="C7" s="5" t="n"/>
      <c r="D7" s="4" t="n"/>
      <c r="E7" s="10" t="n"/>
      <c r="F7" s="4" t="n"/>
      <c r="G7" s="4" t="n"/>
      <c r="H7" s="4" t="n"/>
      <c r="I7" s="4">
        <f>IF($D7="","",Base_Dados!$B$2)</f>
        <v/>
      </c>
    </row>
    <row r="8">
      <c r="A8" s="4">
        <f>IF($D8="","","ALT-"&amp;TEXT(ROW()-1,"0000"))</f>
        <v/>
      </c>
      <c r="B8" s="4" t="n"/>
      <c r="C8" s="5" t="n"/>
      <c r="D8" s="4" t="n"/>
      <c r="E8" s="10" t="n"/>
      <c r="F8" s="4" t="n"/>
      <c r="G8" s="4" t="n"/>
      <c r="H8" s="4" t="n"/>
      <c r="I8" s="4">
        <f>IF($D8="","",Base_Dados!$B$2)</f>
        <v/>
      </c>
    </row>
    <row r="9">
      <c r="A9" s="4">
        <f>IF($D9="","","ALT-"&amp;TEXT(ROW()-1,"0000"))</f>
        <v/>
      </c>
      <c r="B9" s="4" t="n"/>
      <c r="C9" s="5" t="n"/>
      <c r="D9" s="4" t="n"/>
      <c r="E9" s="10" t="n"/>
      <c r="F9" s="4" t="n"/>
      <c r="G9" s="4" t="n"/>
      <c r="H9" s="4" t="n"/>
      <c r="I9" s="4">
        <f>IF($D9="","",Base_Dados!$B$2)</f>
        <v/>
      </c>
    </row>
    <row r="10">
      <c r="A10" s="4">
        <f>IF($D10="","","ALT-"&amp;TEXT(ROW()-1,"0000"))</f>
        <v/>
      </c>
      <c r="B10" s="4" t="n"/>
      <c r="C10" s="5" t="n"/>
      <c r="D10" s="4" t="n"/>
      <c r="E10" s="10" t="n"/>
      <c r="F10" s="4" t="n"/>
      <c r="G10" s="4" t="n"/>
      <c r="H10" s="4" t="n"/>
      <c r="I10" s="4">
        <f>IF($D10="","",Base_Dados!$B$2)</f>
        <v/>
      </c>
    </row>
    <row r="11">
      <c r="A11" s="4">
        <f>IF($D11="","","ALT-"&amp;TEXT(ROW()-1,"0000"))</f>
        <v/>
      </c>
      <c r="B11" s="4" t="n"/>
      <c r="C11" s="5" t="n"/>
      <c r="D11" s="4" t="n"/>
      <c r="E11" s="10" t="n"/>
      <c r="F11" s="4" t="n"/>
      <c r="G11" s="4" t="n"/>
      <c r="H11" s="4" t="n"/>
      <c r="I11" s="4">
        <f>IF($D11="","",Base_Dados!$B$2)</f>
        <v/>
      </c>
    </row>
    <row r="12">
      <c r="A12" s="4">
        <f>IF($D12="","","ALT-"&amp;TEXT(ROW()-1,"0000"))</f>
        <v/>
      </c>
      <c r="B12" s="4" t="n"/>
      <c r="C12" s="5" t="n"/>
      <c r="D12" s="4" t="n"/>
      <c r="E12" s="10" t="n"/>
      <c r="F12" s="4" t="n"/>
      <c r="G12" s="4" t="n"/>
      <c r="H12" s="4" t="n"/>
      <c r="I12" s="4">
        <f>IF($D12="","",Base_Dados!$B$2)</f>
        <v/>
      </c>
    </row>
    <row r="13">
      <c r="A13" s="4">
        <f>IF($D13="","","ALT-"&amp;TEXT(ROW()-1,"0000"))</f>
        <v/>
      </c>
      <c r="B13" s="4" t="n"/>
      <c r="C13" s="5" t="n"/>
      <c r="D13" s="4" t="n"/>
      <c r="E13" s="10" t="n"/>
      <c r="F13" s="4" t="n"/>
      <c r="G13" s="4" t="n"/>
      <c r="H13" s="4" t="n"/>
      <c r="I13" s="4">
        <f>IF($D13="","",Base_Dados!$B$2)</f>
        <v/>
      </c>
    </row>
    <row r="14">
      <c r="A14" s="4">
        <f>IF($D14="","","ALT-"&amp;TEXT(ROW()-1,"0000"))</f>
        <v/>
      </c>
      <c r="B14" s="4" t="n"/>
      <c r="C14" s="5" t="n"/>
      <c r="D14" s="4" t="n"/>
      <c r="E14" s="10" t="n"/>
      <c r="F14" s="4" t="n"/>
      <c r="G14" s="4" t="n"/>
      <c r="H14" s="4" t="n"/>
      <c r="I14" s="4">
        <f>IF($D14="","",Base_Dados!$B$2)</f>
        <v/>
      </c>
    </row>
    <row r="15">
      <c r="A15" s="4">
        <f>IF($D15="","","ALT-"&amp;TEXT(ROW()-1,"0000"))</f>
        <v/>
      </c>
      <c r="B15" s="4" t="n"/>
      <c r="C15" s="5" t="n"/>
      <c r="D15" s="4" t="n"/>
      <c r="E15" s="10" t="n"/>
      <c r="F15" s="4" t="n"/>
      <c r="G15" s="4" t="n"/>
      <c r="H15" s="4" t="n"/>
      <c r="I15" s="4">
        <f>IF($D15="","",Base_Dados!$B$2)</f>
        <v/>
      </c>
    </row>
    <row r="16">
      <c r="A16" s="4">
        <f>IF($D16="","","ALT-"&amp;TEXT(ROW()-1,"0000"))</f>
        <v/>
      </c>
      <c r="B16" s="4" t="n"/>
      <c r="C16" s="5" t="n"/>
      <c r="D16" s="4" t="n"/>
      <c r="E16" s="10" t="n"/>
      <c r="F16" s="4" t="n"/>
      <c r="G16" s="4" t="n"/>
      <c r="H16" s="4" t="n"/>
      <c r="I16" s="4">
        <f>IF($D16="","",Base_Dados!$B$2)</f>
        <v/>
      </c>
    </row>
    <row r="17">
      <c r="A17" s="4">
        <f>IF($D17="","","ALT-"&amp;TEXT(ROW()-1,"0000"))</f>
        <v/>
      </c>
      <c r="B17" s="4" t="n"/>
      <c r="C17" s="5" t="n"/>
      <c r="D17" s="4" t="n"/>
      <c r="E17" s="10" t="n"/>
      <c r="F17" s="4" t="n"/>
      <c r="G17" s="4" t="n"/>
      <c r="H17" s="4" t="n"/>
      <c r="I17" s="4">
        <f>IF($D17="","",Base_Dados!$B$2)</f>
        <v/>
      </c>
    </row>
    <row r="18">
      <c r="A18" s="4">
        <f>IF($D18="","","ALT-"&amp;TEXT(ROW()-1,"0000"))</f>
        <v/>
      </c>
      <c r="B18" s="4" t="n"/>
      <c r="C18" s="5" t="n"/>
      <c r="D18" s="4" t="n"/>
      <c r="E18" s="10" t="n"/>
      <c r="F18" s="4" t="n"/>
      <c r="G18" s="4" t="n"/>
      <c r="H18" s="4" t="n"/>
      <c r="I18" s="4">
        <f>IF($D18="","",Base_Dados!$B$2)</f>
        <v/>
      </c>
    </row>
    <row r="19">
      <c r="A19" s="4">
        <f>IF($D19="","","ALT-"&amp;TEXT(ROW()-1,"0000"))</f>
        <v/>
      </c>
      <c r="B19" s="4" t="n"/>
      <c r="C19" s="5" t="n"/>
      <c r="D19" s="4" t="n"/>
      <c r="E19" s="10" t="n"/>
      <c r="F19" s="4" t="n"/>
      <c r="G19" s="4" t="n"/>
      <c r="H19" s="4" t="n"/>
      <c r="I19" s="4">
        <f>IF($D19="","",Base_Dados!$B$2)</f>
        <v/>
      </c>
    </row>
    <row r="20">
      <c r="A20" s="4">
        <f>IF($D20="","","ALT-"&amp;TEXT(ROW()-1,"0000"))</f>
        <v/>
      </c>
      <c r="B20" s="4" t="n"/>
      <c r="C20" s="5" t="n"/>
      <c r="D20" s="4" t="n"/>
      <c r="E20" s="10" t="n"/>
      <c r="F20" s="4" t="n"/>
      <c r="G20" s="4" t="n"/>
      <c r="H20" s="4" t="n"/>
      <c r="I20" s="4">
        <f>IF($D20="","",Base_Dados!$B$2)</f>
        <v/>
      </c>
    </row>
    <row r="21">
      <c r="A21" s="4">
        <f>IF($D21="","","ALT-"&amp;TEXT(ROW()-1,"0000"))</f>
        <v/>
      </c>
      <c r="B21" s="4" t="n"/>
      <c r="C21" s="5" t="n"/>
      <c r="D21" s="4" t="n"/>
      <c r="E21" s="10" t="n"/>
      <c r="F21" s="4" t="n"/>
      <c r="G21" s="4" t="n"/>
      <c r="H21" s="4" t="n"/>
      <c r="I21" s="4">
        <f>IF($D21="","",Base_Dados!$B$2)</f>
        <v/>
      </c>
    </row>
    <row r="22">
      <c r="A22" s="4">
        <f>IF($D22="","","ALT-"&amp;TEXT(ROW()-1,"0000"))</f>
        <v/>
      </c>
      <c r="B22" s="4" t="n"/>
      <c r="C22" s="5" t="n"/>
      <c r="D22" s="4" t="n"/>
      <c r="E22" s="10" t="n"/>
      <c r="F22" s="4" t="n"/>
      <c r="G22" s="4" t="n"/>
      <c r="H22" s="4" t="n"/>
      <c r="I22" s="4">
        <f>IF($D22="","",Base_Dados!$B$2)</f>
        <v/>
      </c>
    </row>
    <row r="23">
      <c r="A23" s="4">
        <f>IF($D23="","","ALT-"&amp;TEXT(ROW()-1,"0000"))</f>
        <v/>
      </c>
      <c r="B23" s="4" t="n"/>
      <c r="C23" s="5" t="n"/>
      <c r="D23" s="4" t="n"/>
      <c r="E23" s="10" t="n"/>
      <c r="F23" s="4" t="n"/>
      <c r="G23" s="4" t="n"/>
      <c r="H23" s="4" t="n"/>
      <c r="I23" s="4">
        <f>IF($D23="","",Base_Dados!$B$2)</f>
        <v/>
      </c>
    </row>
    <row r="24">
      <c r="A24" s="4">
        <f>IF($D24="","","ALT-"&amp;TEXT(ROW()-1,"0000"))</f>
        <v/>
      </c>
      <c r="B24" s="4" t="n"/>
      <c r="C24" s="5" t="n"/>
      <c r="D24" s="4" t="n"/>
      <c r="E24" s="10" t="n"/>
      <c r="F24" s="4" t="n"/>
      <c r="G24" s="4" t="n"/>
      <c r="H24" s="4" t="n"/>
      <c r="I24" s="4">
        <f>IF($D24="","",Base_Dados!$B$2)</f>
        <v/>
      </c>
    </row>
    <row r="25">
      <c r="A25" s="4">
        <f>IF($D25="","","ALT-"&amp;TEXT(ROW()-1,"0000"))</f>
        <v/>
      </c>
      <c r="B25" s="4" t="n"/>
      <c r="C25" s="5" t="n"/>
      <c r="D25" s="4" t="n"/>
      <c r="E25" s="10" t="n"/>
      <c r="F25" s="4" t="n"/>
      <c r="G25" s="4" t="n"/>
      <c r="H25" s="4" t="n"/>
      <c r="I25" s="4">
        <f>IF($D25="","",Base_Dados!$B$2)</f>
        <v/>
      </c>
    </row>
    <row r="26">
      <c r="A26" s="4">
        <f>IF($D26="","","ALT-"&amp;TEXT(ROW()-1,"0000"))</f>
        <v/>
      </c>
      <c r="B26" s="4" t="n"/>
      <c r="C26" s="5" t="n"/>
      <c r="D26" s="4" t="n"/>
      <c r="E26" s="10" t="n"/>
      <c r="F26" s="4" t="n"/>
      <c r="G26" s="4" t="n"/>
      <c r="H26" s="4" t="n"/>
      <c r="I26" s="4">
        <f>IF($D26="","",Base_Dados!$B$2)</f>
        <v/>
      </c>
    </row>
    <row r="27">
      <c r="A27" s="4">
        <f>IF($D27="","","ALT-"&amp;TEXT(ROW()-1,"0000"))</f>
        <v/>
      </c>
      <c r="B27" s="4" t="n"/>
      <c r="C27" s="5" t="n"/>
      <c r="D27" s="4" t="n"/>
      <c r="E27" s="10" t="n"/>
      <c r="F27" s="4" t="n"/>
      <c r="G27" s="4" t="n"/>
      <c r="H27" s="4" t="n"/>
      <c r="I27" s="4">
        <f>IF($D27="","",Base_Dados!$B$2)</f>
        <v/>
      </c>
    </row>
    <row r="28">
      <c r="A28" s="4">
        <f>IF($D28="","","ALT-"&amp;TEXT(ROW()-1,"0000"))</f>
        <v/>
      </c>
      <c r="B28" s="4" t="n"/>
      <c r="C28" s="5" t="n"/>
      <c r="D28" s="4" t="n"/>
      <c r="E28" s="10" t="n"/>
      <c r="F28" s="4" t="n"/>
      <c r="G28" s="4" t="n"/>
      <c r="H28" s="4" t="n"/>
      <c r="I28" s="4">
        <f>IF($D28="","",Base_Dados!$B$2)</f>
        <v/>
      </c>
    </row>
    <row r="29">
      <c r="A29" s="4">
        <f>IF($D29="","","ALT-"&amp;TEXT(ROW()-1,"0000"))</f>
        <v/>
      </c>
      <c r="B29" s="4" t="n"/>
      <c r="C29" s="5" t="n"/>
      <c r="D29" s="4" t="n"/>
      <c r="E29" s="10" t="n"/>
      <c r="F29" s="4" t="n"/>
      <c r="G29" s="4" t="n"/>
      <c r="H29" s="4" t="n"/>
      <c r="I29" s="4">
        <f>IF($D29="","",Base_Dados!$B$2)</f>
        <v/>
      </c>
    </row>
    <row r="30">
      <c r="A30" s="4">
        <f>IF($D30="","","ALT-"&amp;TEXT(ROW()-1,"0000"))</f>
        <v/>
      </c>
      <c r="B30" s="4" t="n"/>
      <c r="C30" s="5" t="n"/>
      <c r="D30" s="4" t="n"/>
      <c r="E30" s="10" t="n"/>
      <c r="F30" s="4" t="n"/>
      <c r="G30" s="4" t="n"/>
      <c r="H30" s="4" t="n"/>
      <c r="I30" s="4">
        <f>IF($D30="","",Base_Dados!$B$2)</f>
        <v/>
      </c>
    </row>
    <row r="31">
      <c r="A31" s="4">
        <f>IF($D31="","","ALT-"&amp;TEXT(ROW()-1,"0000"))</f>
        <v/>
      </c>
      <c r="B31" s="4" t="n"/>
      <c r="C31" s="5" t="n"/>
      <c r="D31" s="4" t="n"/>
      <c r="E31" s="10" t="n"/>
      <c r="F31" s="4" t="n"/>
      <c r="G31" s="4" t="n"/>
      <c r="H31" s="4" t="n"/>
      <c r="I31" s="4">
        <f>IF($D31="","",Base_Dados!$B$2)</f>
        <v/>
      </c>
    </row>
  </sheetData>
  <dataValidations count="2">
    <dataValidation sqref="B2:B31" showDropDown="0" showInputMessage="0" showErrorMessage="1" allowBlank="1" errorTitle="Tipo inválido" error="Selecione um dos tipos oficiais: Escopo, Prazo, Orçamento." type="list">
      <formula1>"Escopo,Prazo,Orçamento"</formula1>
    </dataValidation>
    <dataValidation sqref="G2:G31" showDropDown="0" showInputMessage="0" showErrorMessage="1" allowBlank="1" errorTitle="Status inválido" error="Selecione um dos status oficiais: Em análise, Aprovada, Rejeitada, Cancelada." type="list">
      <formula1>"Em análise,Aprovada,Rejeitada,Cancelada"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2" t="inlineStr">
        <is>
          <t>Resumo Financeiro</t>
        </is>
      </c>
      <c r="B1" s="2" t="n"/>
    </row>
    <row r="2">
      <c r="A2" s="3" t="inlineStr">
        <is>
          <t>Orçamento Inicial (Previsto)</t>
        </is>
      </c>
      <c r="B2" s="11">
        <f>Início!$B$8</f>
        <v/>
      </c>
    </row>
    <row r="3">
      <c r="A3" s="3" t="inlineStr">
        <is>
          <t>Aportes</t>
        </is>
      </c>
      <c r="B3" s="11">
        <f>SUM(TabelaFinanceiro[Aporte])</f>
        <v/>
      </c>
    </row>
    <row r="4">
      <c r="A4" s="3" t="inlineStr">
        <is>
          <t>Alterações Aprovadas</t>
        </is>
      </c>
      <c r="B4" s="11">
        <f>SUMIFS(TabelaAlteracoes[Impacto no Orçamento],TabelaAlteracoes[Status de Aprovação],"Aprovada")</f>
        <v/>
      </c>
    </row>
    <row r="5">
      <c r="A5" s="3" t="inlineStr">
        <is>
          <t>Orçamento Vigente</t>
        </is>
      </c>
      <c r="B5" s="11">
        <f>B2+B3+B4</f>
        <v/>
      </c>
    </row>
    <row r="6">
      <c r="A6" s="3" t="inlineStr">
        <is>
          <t>Custo Realizado</t>
        </is>
      </c>
      <c r="B6" s="11">
        <f>SUM(TabelaFinanceiro[Custo Realizado])</f>
        <v/>
      </c>
    </row>
    <row r="7">
      <c r="A7" s="3" t="inlineStr">
        <is>
          <t>Saldo Orçamentário</t>
        </is>
      </c>
      <c r="B7" s="11">
        <f>B5-B6</f>
        <v/>
      </c>
    </row>
    <row r="8">
      <c r="A8" s="3" t="inlineStr">
        <is>
          <t>% Orçamento Consumido</t>
        </is>
      </c>
      <c r="B8" s="13">
        <f>IF(B5=0,"N/D",B6/B5)</f>
        <v/>
      </c>
    </row>
    <row r="9">
      <c r="A9" s="3" t="inlineStr">
        <is>
          <t>Outras Entradas</t>
        </is>
      </c>
      <c r="B9" s="11">
        <f>SUMIF(TabelaFinanceiro[Tipo],"Outras Entradas",TabelaFinanceiro[Valor])</f>
        <v/>
      </c>
    </row>
    <row r="10">
      <c r="A10" s="3" t="inlineStr">
        <is>
          <t>Outras Saídas</t>
        </is>
      </c>
      <c r="B10" s="11">
        <f>SUMIF(TabelaFinanceiro[Tipo],"Outras Saídas",TabelaFinanceiro[Valor])</f>
        <v/>
      </c>
    </row>
    <row r="11">
      <c r="A11" s="3" t="inlineStr">
        <is>
          <t>Total de Entradas</t>
        </is>
      </c>
      <c r="B11" s="11">
        <f>B3+B9</f>
        <v/>
      </c>
    </row>
    <row r="12">
      <c r="A12" s="3" t="inlineStr">
        <is>
          <t>Total Pago</t>
        </is>
      </c>
      <c r="B12" s="11">
        <f>SUM(TabelaFinanceiro[Total Pago])</f>
        <v/>
      </c>
    </row>
    <row r="13">
      <c r="A13" s="3" t="inlineStr">
        <is>
          <t>Total de Saídas</t>
        </is>
      </c>
      <c r="B13" s="11">
        <f>B12+B10</f>
        <v/>
      </c>
    </row>
    <row r="14">
      <c r="A14" s="3" t="inlineStr">
        <is>
          <t>Saldo de Caixa</t>
        </is>
      </c>
      <c r="B14" s="11">
        <f>B11-B13</f>
        <v/>
      </c>
    </row>
    <row r="15">
      <c r="A15" s="3" t="inlineStr">
        <is>
          <t>Total A Pagar</t>
        </is>
      </c>
      <c r="B15" s="11">
        <f>SUM(TabelaFinanceiro[A Pagar])</f>
        <v/>
      </c>
    </row>
    <row r="16">
      <c r="A16" s="3" t="inlineStr">
        <is>
          <t>Estouro de Orçamento (indicador Operador-only)</t>
        </is>
      </c>
      <c r="B16" s="9">
        <f>IF(B7&lt;0,"SIM","NÃO")</f>
        <v/>
      </c>
    </row>
    <row r="18">
      <c r="A18" s="14" t="inlineStr">
        <is>
          <t>Nota da Etapa 5: Orçamento Vigente = Orçamento Inicial + Aportes + Alterações Aprovadas (aba Alterações, REG-017 completo).</t>
        </is>
      </c>
    </row>
    <row r="19">
      <c r="A19" s="14" t="inlineStr">
        <is>
          <t>Nota: 'Estouro de Orçamento' é Operador-only por especificação (Seções 29/30) — o mecanismo técnico de restrição por perfil ainda não existe (SEC_001, [H]).</t>
        </is>
      </c>
    </row>
  </sheetData>
  <mergeCells count="2">
    <mergeCell ref="A18:B18"/>
    <mergeCell ref="A19: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2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8">
      <c r="A18" t="inlineStr">
        <is>
          <t>PAGAMENTOS</t>
        </is>
      </c>
      <c r="B18" t="inlineStr">
        <is>
          <t>PGT</t>
        </is>
      </c>
    </row>
    <row r="20">
      <c r="A20" s="3" t="inlineStr">
        <is>
          <t>Status do Serviço homologados (Etapa 3, Seção 18)</t>
        </is>
      </c>
    </row>
    <row r="21">
      <c r="A21" t="inlineStr">
        <is>
          <t>Ativo</t>
        </is>
      </c>
      <c r="B21" t="inlineStr">
        <is>
          <t>integra orçamento corrente</t>
        </is>
      </c>
    </row>
    <row r="22">
      <c r="A22" t="inlineStr">
        <is>
          <t>Concluído</t>
        </is>
      </c>
      <c r="B22" t="inlineStr">
        <is>
          <t>integra orçamento corrente</t>
        </is>
      </c>
    </row>
    <row r="23">
      <c r="A23" t="inlineStr">
        <is>
          <t>Cancelado</t>
        </is>
      </c>
      <c r="B23" t="inlineStr">
        <is>
          <t>excluído do orçamento corrente</t>
        </is>
      </c>
    </row>
    <row r="24">
      <c r="A24" t="inlineStr">
        <is>
          <t>Retirado do Escopo</t>
        </is>
      </c>
      <c r="B24" t="inlineStr">
        <is>
          <t>excluído do orçamento corrente</t>
        </is>
      </c>
    </row>
    <row r="25">
      <c r="A25" t="inlineStr">
        <is>
          <t>Substituído</t>
        </is>
      </c>
      <c r="B25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2026-09-19T21:25:42Z</dcterms:created>
  <dcterms:modified xsi:type="dcterms:W3CDTF">2026-09-19T21:25:42Z</dcterms:modified>
</cp:coreProperties>
</file>