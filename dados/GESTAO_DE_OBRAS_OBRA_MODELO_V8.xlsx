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Execução" sheetId="5" state="visible" r:id="rId5"/>
    <sheet name="Financeiro" sheetId="6" state="visible" r:id="rId6"/>
    <sheet name="Pagamentos" sheetId="7" state="visible" r:id="rId7"/>
    <sheet name="Alterações" sheetId="8" state="visible" r:id="rId8"/>
    <sheet name="Compras" sheetId="9" state="visible" r:id="rId9"/>
    <sheet name="Resumo Financeiro" sheetId="10" state="visible" r:id="rId10"/>
    <sheet name="Base_Dados" sheetId="11" state="hidden" r:id="rId11"/>
  </sheets>
  <definedNames>
    <definedName name="Lista_Etapas">TabelaEtapas[Nome]</definedName>
    <definedName name="Lista_Subetapas">TabelaSubetapas[Nome]</definedName>
    <definedName name="Lista_Financeiro_Descricoes">TabelaFinanceiro[Descrição]</definedName>
    <definedName name="Lista_Servicos">TabelaServicos[Descrição]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10" fontId="3" fillId="3" borderId="1" pivotButton="0" quotePrefix="0" xfId="0"/>
    <xf numFmtId="164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1" fontId="3" fillId="3" borderId="1" pivotButton="0" quotePrefix="0" xfId="0"/>
    <xf numFmtId="4" fontId="0" fillId="0" borderId="1" pivotButton="0" quotePrefix="0" xfId="0"/>
    <xf numFmtId="0" fontId="3" fillId="3" borderId="1" pivotButton="0" quotePrefix="0" xfId="0"/>
    <xf numFmtId="10" fontId="0" fillId="0" borderId="1" pivotButton="0" quotePrefix="0" xfId="0"/>
    <xf numFmtId="165" fontId="0" fillId="0" borderId="1" pivotButton="0" quotePrefix="0" xfId="0"/>
    <xf numFmtId="165" fontId="3" fillId="3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elaEtapas" displayName="TabelaEtapas" ref="A1:O31" headerRowCount="1">
  <autoFilter ref="A1:O31"/>
  <tableColumns count="15">
    <tableColumn id="1" name="ID (técnico)"/>
    <tableColumn id="2" name="Nome"/>
    <tableColumn id="3" name="Ordem"/>
    <tableColumn id="4" name="Status"/>
    <tableColumn id="5" name="ID_Obra (técnico)"/>
    <tableColumn id="6" name="Total Previsto (Subetapas)"/>
    <tableColumn id="7" name="Peso Consolidado (Execução)"/>
    <tableColumn id="8" name="Contribuição na Obra (Execução)"/>
    <tableColumn id="9" name="Data Início Prevista"/>
    <tableColumn id="10" name="Data Fim Prevista"/>
    <tableColumn id="11" name="Data Início Real"/>
    <tableColumn id="12" name="Data Fim Real"/>
    <tableColumn id="13" name="Duração Prevista (dias)"/>
    <tableColumn id="14" name="Duração Real (dias)"/>
    <tableColumn id="15" name="Variação de Prazo (dias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elaSubetapas" displayName="TabelaSubetapas" ref="A1:O31" headerRowCount="1">
  <autoFilter ref="A1:O31"/>
  <tableColumns count="15">
    <tableColumn id="1" name="ID (técnico)"/>
    <tableColumn id="2" name="Nome"/>
    <tableColumn id="3" name="Etapa"/>
    <tableColumn id="4" name="Status"/>
    <tableColumn id="5" name="ID_Etapa (técnico)"/>
    <tableColumn id="6" name="Total Previsto (Serviços)"/>
    <tableColumn id="7" name="Peso Consolidado (Execução)"/>
    <tableColumn id="8" name="Contribuição na Obra (Execução)"/>
    <tableColumn id="9" name="Data Início Prevista"/>
    <tableColumn id="10" name="Data Fim Prevista"/>
    <tableColumn id="11" name="Data Início Real"/>
    <tableColumn id="12" name="Data Fim Real"/>
    <tableColumn id="13" name="Duração Prevista (dias)"/>
    <tableColumn id="14" name="Duração Real (dias)"/>
    <tableColumn id="15" name="Variação de Prazo (dias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abelaServicos" displayName="TabelaServicos" ref="A1:U31" headerRowCount="1">
  <autoFilter ref="A1:U31"/>
  <tableColumns count="21">
    <tableColumn id="1" name="ID (técnico)"/>
    <tableColumn id="2" name="Descrição"/>
    <tableColumn id="3" name="Subetapa"/>
    <tableColumn id="4" name="Unidade de Medida"/>
    <tableColumn id="5" name="Quantidade Orçada"/>
    <tableColumn id="6" name="Valor Unitário"/>
    <tableColumn id="7" name="Valor Calculado"/>
    <tableColumn id="8" name="Valor Previsto (Ajuste Manual)"/>
    <tableColumn id="9" name="Ajuste Manual"/>
    <tableColumn id="10" name="Valor Previsto"/>
    <tableColumn id="11" name="Variação"/>
    <tableColumn id="12" name="Status"/>
    <tableColumn id="13" name="Método de Execução"/>
    <tableColumn id="14" name="Status de Execução"/>
    <tableColumn id="15" name="Qtd. Executada (acum.)"/>
    <tableColumn id="16" name="% Execução do Serviço"/>
    <tableColumn id="17" name="Peso Ajustado (manual)"/>
    <tableColumn id="18" name="Peso Automático"/>
    <tableColumn id="19" name="Peso Efetivo"/>
    <tableColumn id="20" name="Contribuição na Obra"/>
    <tableColumn id="21" name="ID_Subetapa (técnico)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abelaExecucao" displayName="TabelaExecucao" ref="A1:F31" headerRowCount="1">
  <autoFilter ref="A1:F31"/>
  <tableColumns count="6">
    <tableColumn id="1" name="ID (técnico)"/>
    <tableColumn id="2" name="Serviço"/>
    <tableColumn id="3" name="Data da Medição"/>
    <tableColumn id="4" name="Quantidade Executada"/>
    <tableColumn id="5" name="Responsável"/>
    <tableColumn id="6" name="ID_Servico (técnico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abelaFinanceiro" displayName="TabelaFinanceiro" ref="A1:M31" headerRowCount="1">
  <autoFilter ref="A1:M31"/>
  <tableColumns count="13">
    <tableColumn id="1" name="ID (técnico)"/>
    <tableColumn id="2" name="Tipo"/>
    <tableColumn id="3" name="Data"/>
    <tableColumn id="4" name="Descrição"/>
    <tableColumn id="5" name="Valor"/>
    <tableColumn id="6" name="Entrada/Saída"/>
    <tableColumn id="7" name="Aporte"/>
    <tableColumn id="8" name="Custo Realizado"/>
    <tableColumn id="9" name="Total Pago"/>
    <tableColumn id="10" name="A Pagar"/>
    <tableColumn id="11" name="Situação"/>
    <tableColumn id="12" name="Observação"/>
    <tableColumn id="13" name="ID_Obra (técnico)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TabelaPagamentos" displayName="TabelaPagamentos" ref="A1:F31" headerRowCount="1">
  <autoFilter ref="A1:F31"/>
  <tableColumns count="6">
    <tableColumn id="1" name="ID (técnico)"/>
    <tableColumn id="2" name="Lançamento (Despesa/Custo)"/>
    <tableColumn id="3" name="Data do Pagamento"/>
    <tableColumn id="4" name="Valor Pago"/>
    <tableColumn id="5" name="Observação"/>
    <tableColumn id="6" name="ID_Financeiro (técnico)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TabelaAlteracoes" displayName="TabelaAlteracoes" ref="A1:I31" headerRowCount="1">
  <autoFilter ref="A1:I31"/>
  <tableColumns count="9">
    <tableColumn id="1" name="ID (técnico)"/>
    <tableColumn id="2" name="Tipo"/>
    <tableColumn id="3" name="Data"/>
    <tableColumn id="4" name="Descrição"/>
    <tableColumn id="5" name="Impacto no Orçamento"/>
    <tableColumn id="6" name="Impacto no Prazo (dias)"/>
    <tableColumn id="7" name="Status de Aprovação"/>
    <tableColumn id="8" name="Solicitante"/>
    <tableColumn id="9" name="ID_Obra (técnico)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id="8" name="TabelaCompras" displayName="TabelaCompras" ref="A1:S31" headerRowCount="1">
  <autoFilter ref="A1:S31"/>
  <tableColumns count="19">
    <tableColumn id="1" name="ID (técnico)"/>
    <tableColumn id="2" name="Descrição"/>
    <tableColumn id="3" name="Fornecedor"/>
    <tableColumn id="4" name="Data da Compra"/>
    <tableColumn id="5" name="Valor"/>
    <tableColumn id="6" name="Forma de Pagamento"/>
    <tableColumn id="7" name="Status de Aprovação"/>
    <tableColumn id="8" name="Status de Entrega"/>
    <tableColumn id="9" name="Etapa (opcional)"/>
    <tableColumn id="10" name="Subetapa (opcional)"/>
    <tableColumn id="11" name="Serviço (opcional)"/>
    <tableColumn id="12" name="Planejado (Valor Previsto)"/>
    <tableColumn id="13" name="Variação R$"/>
    <tableColumn id="14" name="Variação %"/>
    <tableColumn id="15" name="Observação"/>
    <tableColumn id="16" name="ID_Obra (técnico)"/>
    <tableColumn id="17" name="ID_Etapa (técnico)"/>
    <tableColumn id="18" name="ID_Subetapa (técnico)"/>
    <tableColumn id="19" name="ID_Servico (técnico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SUM(TabelaEtapas[Total Previsto (Subetapas)])</f>
        <v/>
      </c>
    </row>
    <row r="9">
      <c r="A9" s="3" t="inlineStr">
        <is>
          <t>% Execução Física da Obra</t>
        </is>
      </c>
      <c r="B9" s="7">
        <f>IF(SUMPRODUCT(ISNUMBER(TabelaServicos[Valor Previsto])*(TabelaServicos[Status]&lt;&gt;"Cancelado")*(TabelaServicos[Status]&lt;&gt;"Retirado do Escopo")*(TabelaServicos[Status]&lt;&gt;"Substituído"))=0,"N/D",SUM(TabelaEtapas[Contribuição na Obra (Execução)]))</f>
        <v/>
      </c>
    </row>
    <row r="10">
      <c r="A10" s="3" t="inlineStr">
        <is>
          <t>Início Previsto (menor data das Etapas)</t>
        </is>
      </c>
      <c r="B10" s="8">
        <f>IF(COUNT(TabelaEtapas[Data Início Prevista])=0,"",MIN(TabelaEtapas[Data Início Prevista]))</f>
        <v/>
      </c>
    </row>
    <row r="11">
      <c r="A11" s="3" t="inlineStr">
        <is>
          <t>Fim Previsto (maior data das Etapas)</t>
        </is>
      </c>
      <c r="B11" s="8">
        <f>IF(COUNT(TabelaEtapas[Data Fim Prevista])=0,"",MAX(TabelaEtapas[Data Fim Prevista]))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DATE(1900,1,1)</formula1>
    </dataValidation>
    <dataValidation sqref="B7" showDropDown="0" showInputMessage="0" showErrorMessage="1" allowBlank="1" errorTitle="Data inválida" error="Informe uma data válida." type="date" operator="greaterThanOrEqual">
      <formula1>DATE(1900,1,1)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  <col width="24" customWidth="1" min="7" max="7"/>
    <col width="28" customWidth="1" min="8" max="8"/>
    <col width="18" customWidth="1" min="9" max="9"/>
    <col width="18" customWidth="1" min="10" max="10"/>
    <col width="16" customWidth="1" min="11" max="11"/>
    <col width="16" customWidth="1" min="12" max="12"/>
    <col width="20" customWidth="1" min="13" max="13"/>
    <col width="18" customWidth="1" min="14" max="14"/>
    <col width="20" customWidth="1" min="15" max="15"/>
  </cols>
  <sheetData>
    <row r="1" ht="30" customHeight="1">
      <c r="A1" s="9" t="inlineStr">
        <is>
          <t>ID (técnico)</t>
        </is>
      </c>
      <c r="B1" s="9" t="inlineStr">
        <is>
          <t>Nome</t>
        </is>
      </c>
      <c r="C1" s="9" t="inlineStr">
        <is>
          <t>Ordem</t>
        </is>
      </c>
      <c r="D1" s="9" t="inlineStr">
        <is>
          <t>Status</t>
        </is>
      </c>
      <c r="E1" s="9" t="inlineStr">
        <is>
          <t>ID_Obra (técnico)</t>
        </is>
      </c>
      <c r="F1" s="9" t="inlineStr">
        <is>
          <t>Total Previsto (Subetapas)</t>
        </is>
      </c>
      <c r="G1" s="9" t="inlineStr">
        <is>
          <t>Peso Consolidado (Execução)</t>
        </is>
      </c>
      <c r="H1" s="9" t="inlineStr">
        <is>
          <t>Contribuição na Obra (Execução)</t>
        </is>
      </c>
      <c r="I1" s="9" t="inlineStr">
        <is>
          <t>Data Início Prevista</t>
        </is>
      </c>
      <c r="J1" s="9" t="inlineStr">
        <is>
          <t>Data Fim Prevista</t>
        </is>
      </c>
      <c r="K1" s="9" t="inlineStr">
        <is>
          <t>Data Início Real</t>
        </is>
      </c>
      <c r="L1" s="9" t="inlineStr">
        <is>
          <t>Data Fim Real</t>
        </is>
      </c>
      <c r="M1" s="9" t="inlineStr">
        <is>
          <t>Duração Prevista (dias)</t>
        </is>
      </c>
      <c r="N1" s="9" t="inlineStr">
        <is>
          <t>Duração Real (dias)</t>
        </is>
      </c>
      <c r="O1" s="9" t="inlineStr">
        <is>
          <t>Variação de Prazo (dias)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  <c r="G2" s="7">
        <f>IF($B2="","",SUMIFS(Subetapas!$G:$G,Subetapas!$E:$E,$A2))</f>
        <v/>
      </c>
      <c r="H2" s="7">
        <f>IF($B2="","",SUMIFS(Subetapas!$H:$H,Subetapas!$E:$E,$A2))</f>
        <v/>
      </c>
      <c r="I2" s="5" t="n"/>
      <c r="J2" s="5" t="n"/>
      <c r="K2" s="5" t="n"/>
      <c r="L2" s="5" t="n"/>
      <c r="M2" s="10">
        <f>IF(OR($I2="",$J2=""),"",$J2-$I2)</f>
        <v/>
      </c>
      <c r="N2" s="10">
        <f>IF(OR($K2="",$L2=""),"",$L2-$K2)</f>
        <v/>
      </c>
      <c r="O2" s="10">
        <f>IF(OR($J2="",$L2=""),"",$L2-$J2)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  <c r="G3" s="7">
        <f>IF($B3="","",SUMIFS(Subetapas!$G:$G,Subetapas!$E:$E,$A3))</f>
        <v/>
      </c>
      <c r="H3" s="7">
        <f>IF($B3="","",SUMIFS(Subetapas!$H:$H,Subetapas!$E:$E,$A3))</f>
        <v/>
      </c>
      <c r="I3" s="5" t="n"/>
      <c r="J3" s="5" t="n"/>
      <c r="K3" s="5" t="n"/>
      <c r="L3" s="5" t="n"/>
      <c r="M3" s="10">
        <f>IF(OR($I3="",$J3=""),"",$J3-$I3)</f>
        <v/>
      </c>
      <c r="N3" s="10">
        <f>IF(OR($K3="",$L3=""),"",$L3-$K3)</f>
        <v/>
      </c>
      <c r="O3" s="10">
        <f>IF(OR($J3="",$L3=""),"",$L3-$J3)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  <c r="G4" s="7">
        <f>IF($B4="","",SUMIFS(Subetapas!$G:$G,Subetapas!$E:$E,$A4))</f>
        <v/>
      </c>
      <c r="H4" s="7">
        <f>IF($B4="","",SUMIFS(Subetapas!$H:$H,Subetapas!$E:$E,$A4))</f>
        <v/>
      </c>
      <c r="I4" s="5" t="n"/>
      <c r="J4" s="5" t="n"/>
      <c r="K4" s="5" t="n"/>
      <c r="L4" s="5" t="n"/>
      <c r="M4" s="10">
        <f>IF(OR($I4="",$J4=""),"",$J4-$I4)</f>
        <v/>
      </c>
      <c r="N4" s="10">
        <f>IF(OR($K4="",$L4=""),"",$L4-$K4)</f>
        <v/>
      </c>
      <c r="O4" s="10">
        <f>IF(OR($J4="",$L4=""),"",$L4-$J4)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  <c r="G5" s="7">
        <f>IF($B5="","",SUMIFS(Subetapas!$G:$G,Subetapas!$E:$E,$A5))</f>
        <v/>
      </c>
      <c r="H5" s="7">
        <f>IF($B5="","",SUMIFS(Subetapas!$H:$H,Subetapas!$E:$E,$A5))</f>
        <v/>
      </c>
      <c r="I5" s="5" t="n"/>
      <c r="J5" s="5" t="n"/>
      <c r="K5" s="5" t="n"/>
      <c r="L5" s="5" t="n"/>
      <c r="M5" s="10">
        <f>IF(OR($I5="",$J5=""),"",$J5-$I5)</f>
        <v/>
      </c>
      <c r="N5" s="10">
        <f>IF(OR($K5="",$L5=""),"",$L5-$K5)</f>
        <v/>
      </c>
      <c r="O5" s="10">
        <f>IF(OR($J5="",$L5=""),"",$L5-$J5)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  <c r="G6" s="7">
        <f>IF($B6="","",SUMIFS(Subetapas!$G:$G,Subetapas!$E:$E,$A6))</f>
        <v/>
      </c>
      <c r="H6" s="7">
        <f>IF($B6="","",SUMIFS(Subetapas!$H:$H,Subetapas!$E:$E,$A6))</f>
        <v/>
      </c>
      <c r="I6" s="5" t="n"/>
      <c r="J6" s="5" t="n"/>
      <c r="K6" s="5" t="n"/>
      <c r="L6" s="5" t="n"/>
      <c r="M6" s="10">
        <f>IF(OR($I6="",$J6=""),"",$J6-$I6)</f>
        <v/>
      </c>
      <c r="N6" s="10">
        <f>IF(OR($K6="",$L6=""),"",$L6-$K6)</f>
        <v/>
      </c>
      <c r="O6" s="10">
        <f>IF(OR($J6="",$L6=""),"",$L6-$J6)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  <c r="G7" s="7">
        <f>IF($B7="","",SUMIFS(Subetapas!$G:$G,Subetapas!$E:$E,$A7))</f>
        <v/>
      </c>
      <c r="H7" s="7">
        <f>IF($B7="","",SUMIFS(Subetapas!$H:$H,Subetapas!$E:$E,$A7))</f>
        <v/>
      </c>
      <c r="I7" s="5" t="n"/>
      <c r="J7" s="5" t="n"/>
      <c r="K7" s="5" t="n"/>
      <c r="L7" s="5" t="n"/>
      <c r="M7" s="10">
        <f>IF(OR($I7="",$J7=""),"",$J7-$I7)</f>
        <v/>
      </c>
      <c r="N7" s="10">
        <f>IF(OR($K7="",$L7=""),"",$L7-$K7)</f>
        <v/>
      </c>
      <c r="O7" s="10">
        <f>IF(OR($J7="",$L7=""),"",$L7-$J7)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  <c r="G8" s="7">
        <f>IF($B8="","",SUMIFS(Subetapas!$G:$G,Subetapas!$E:$E,$A8))</f>
        <v/>
      </c>
      <c r="H8" s="7">
        <f>IF($B8="","",SUMIFS(Subetapas!$H:$H,Subetapas!$E:$E,$A8))</f>
        <v/>
      </c>
      <c r="I8" s="5" t="n"/>
      <c r="J8" s="5" t="n"/>
      <c r="K8" s="5" t="n"/>
      <c r="L8" s="5" t="n"/>
      <c r="M8" s="10">
        <f>IF(OR($I8="",$J8=""),"",$J8-$I8)</f>
        <v/>
      </c>
      <c r="N8" s="10">
        <f>IF(OR($K8="",$L8=""),"",$L8-$K8)</f>
        <v/>
      </c>
      <c r="O8" s="10">
        <f>IF(OR($J8="",$L8=""),"",$L8-$J8)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  <c r="G9" s="7">
        <f>IF($B9="","",SUMIFS(Subetapas!$G:$G,Subetapas!$E:$E,$A9))</f>
        <v/>
      </c>
      <c r="H9" s="7">
        <f>IF($B9="","",SUMIFS(Subetapas!$H:$H,Subetapas!$E:$E,$A9))</f>
        <v/>
      </c>
      <c r="I9" s="5" t="n"/>
      <c r="J9" s="5" t="n"/>
      <c r="K9" s="5" t="n"/>
      <c r="L9" s="5" t="n"/>
      <c r="M9" s="10">
        <f>IF(OR($I9="",$J9=""),"",$J9-$I9)</f>
        <v/>
      </c>
      <c r="N9" s="10">
        <f>IF(OR($K9="",$L9=""),"",$L9-$K9)</f>
        <v/>
      </c>
      <c r="O9" s="10">
        <f>IF(OR($J9="",$L9=""),"",$L9-$J9)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  <c r="G10" s="7">
        <f>IF($B10="","",SUMIFS(Subetapas!$G:$G,Subetapas!$E:$E,$A10))</f>
        <v/>
      </c>
      <c r="H10" s="7">
        <f>IF($B10="","",SUMIFS(Subetapas!$H:$H,Subetapas!$E:$E,$A10))</f>
        <v/>
      </c>
      <c r="I10" s="5" t="n"/>
      <c r="J10" s="5" t="n"/>
      <c r="K10" s="5" t="n"/>
      <c r="L10" s="5" t="n"/>
      <c r="M10" s="10">
        <f>IF(OR($I10="",$J10=""),"",$J10-$I10)</f>
        <v/>
      </c>
      <c r="N10" s="10">
        <f>IF(OR($K10="",$L10=""),"",$L10-$K10)</f>
        <v/>
      </c>
      <c r="O10" s="10">
        <f>IF(OR($J10="",$L10=""),"",$L10-$J10)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  <c r="G11" s="7">
        <f>IF($B11="","",SUMIFS(Subetapas!$G:$G,Subetapas!$E:$E,$A11))</f>
        <v/>
      </c>
      <c r="H11" s="7">
        <f>IF($B11="","",SUMIFS(Subetapas!$H:$H,Subetapas!$E:$E,$A11))</f>
        <v/>
      </c>
      <c r="I11" s="5" t="n"/>
      <c r="J11" s="5" t="n"/>
      <c r="K11" s="5" t="n"/>
      <c r="L11" s="5" t="n"/>
      <c r="M11" s="10">
        <f>IF(OR($I11="",$J11=""),"",$J11-$I11)</f>
        <v/>
      </c>
      <c r="N11" s="10">
        <f>IF(OR($K11="",$L11=""),"",$L11-$K11)</f>
        <v/>
      </c>
      <c r="O11" s="10">
        <f>IF(OR($J11="",$L11=""),"",$L11-$J11)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  <c r="G12" s="7">
        <f>IF($B12="","",SUMIFS(Subetapas!$G:$G,Subetapas!$E:$E,$A12))</f>
        <v/>
      </c>
      <c r="H12" s="7">
        <f>IF($B12="","",SUMIFS(Subetapas!$H:$H,Subetapas!$E:$E,$A12))</f>
        <v/>
      </c>
      <c r="I12" s="5" t="n"/>
      <c r="J12" s="5" t="n"/>
      <c r="K12" s="5" t="n"/>
      <c r="L12" s="5" t="n"/>
      <c r="M12" s="10">
        <f>IF(OR($I12="",$J12=""),"",$J12-$I12)</f>
        <v/>
      </c>
      <c r="N12" s="10">
        <f>IF(OR($K12="",$L12=""),"",$L12-$K12)</f>
        <v/>
      </c>
      <c r="O12" s="10">
        <f>IF(OR($J12="",$L12=""),"",$L12-$J12)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  <c r="G13" s="7">
        <f>IF($B13="","",SUMIFS(Subetapas!$G:$G,Subetapas!$E:$E,$A13))</f>
        <v/>
      </c>
      <c r="H13" s="7">
        <f>IF($B13="","",SUMIFS(Subetapas!$H:$H,Subetapas!$E:$E,$A13))</f>
        <v/>
      </c>
      <c r="I13" s="5" t="n"/>
      <c r="J13" s="5" t="n"/>
      <c r="K13" s="5" t="n"/>
      <c r="L13" s="5" t="n"/>
      <c r="M13" s="10">
        <f>IF(OR($I13="",$J13=""),"",$J13-$I13)</f>
        <v/>
      </c>
      <c r="N13" s="10">
        <f>IF(OR($K13="",$L13=""),"",$L13-$K13)</f>
        <v/>
      </c>
      <c r="O13" s="10">
        <f>IF(OR($J13="",$L13=""),"",$L13-$J13)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  <c r="G14" s="7">
        <f>IF($B14="","",SUMIFS(Subetapas!$G:$G,Subetapas!$E:$E,$A14))</f>
        <v/>
      </c>
      <c r="H14" s="7">
        <f>IF($B14="","",SUMIFS(Subetapas!$H:$H,Subetapas!$E:$E,$A14))</f>
        <v/>
      </c>
      <c r="I14" s="5" t="n"/>
      <c r="J14" s="5" t="n"/>
      <c r="K14" s="5" t="n"/>
      <c r="L14" s="5" t="n"/>
      <c r="M14" s="10">
        <f>IF(OR($I14="",$J14=""),"",$J14-$I14)</f>
        <v/>
      </c>
      <c r="N14" s="10">
        <f>IF(OR($K14="",$L14=""),"",$L14-$K14)</f>
        <v/>
      </c>
      <c r="O14" s="10">
        <f>IF(OR($J14="",$L14=""),"",$L14-$J14)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  <c r="G15" s="7">
        <f>IF($B15="","",SUMIFS(Subetapas!$G:$G,Subetapas!$E:$E,$A15))</f>
        <v/>
      </c>
      <c r="H15" s="7">
        <f>IF($B15="","",SUMIFS(Subetapas!$H:$H,Subetapas!$E:$E,$A15))</f>
        <v/>
      </c>
      <c r="I15" s="5" t="n"/>
      <c r="J15" s="5" t="n"/>
      <c r="K15" s="5" t="n"/>
      <c r="L15" s="5" t="n"/>
      <c r="M15" s="10">
        <f>IF(OR($I15="",$J15=""),"",$J15-$I15)</f>
        <v/>
      </c>
      <c r="N15" s="10">
        <f>IF(OR($K15="",$L15=""),"",$L15-$K15)</f>
        <v/>
      </c>
      <c r="O15" s="10">
        <f>IF(OR($J15="",$L15=""),"",$L15-$J15)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  <c r="G16" s="7">
        <f>IF($B16="","",SUMIFS(Subetapas!$G:$G,Subetapas!$E:$E,$A16))</f>
        <v/>
      </c>
      <c r="H16" s="7">
        <f>IF($B16="","",SUMIFS(Subetapas!$H:$H,Subetapas!$E:$E,$A16))</f>
        <v/>
      </c>
      <c r="I16" s="5" t="n"/>
      <c r="J16" s="5" t="n"/>
      <c r="K16" s="5" t="n"/>
      <c r="L16" s="5" t="n"/>
      <c r="M16" s="10">
        <f>IF(OR($I16="",$J16=""),"",$J16-$I16)</f>
        <v/>
      </c>
      <c r="N16" s="10">
        <f>IF(OR($K16="",$L16=""),"",$L16-$K16)</f>
        <v/>
      </c>
      <c r="O16" s="10">
        <f>IF(OR($J16="",$L16=""),"",$L16-$J16)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  <c r="G17" s="7">
        <f>IF($B17="","",SUMIFS(Subetapas!$G:$G,Subetapas!$E:$E,$A17))</f>
        <v/>
      </c>
      <c r="H17" s="7">
        <f>IF($B17="","",SUMIFS(Subetapas!$H:$H,Subetapas!$E:$E,$A17))</f>
        <v/>
      </c>
      <c r="I17" s="5" t="n"/>
      <c r="J17" s="5" t="n"/>
      <c r="K17" s="5" t="n"/>
      <c r="L17" s="5" t="n"/>
      <c r="M17" s="10">
        <f>IF(OR($I17="",$J17=""),"",$J17-$I17)</f>
        <v/>
      </c>
      <c r="N17" s="10">
        <f>IF(OR($K17="",$L17=""),"",$L17-$K17)</f>
        <v/>
      </c>
      <c r="O17" s="10">
        <f>IF(OR($J17="",$L17=""),"",$L17-$J17)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  <c r="G18" s="7">
        <f>IF($B18="","",SUMIFS(Subetapas!$G:$G,Subetapas!$E:$E,$A18))</f>
        <v/>
      </c>
      <c r="H18" s="7">
        <f>IF($B18="","",SUMIFS(Subetapas!$H:$H,Subetapas!$E:$E,$A18))</f>
        <v/>
      </c>
      <c r="I18" s="5" t="n"/>
      <c r="J18" s="5" t="n"/>
      <c r="K18" s="5" t="n"/>
      <c r="L18" s="5" t="n"/>
      <c r="M18" s="10">
        <f>IF(OR($I18="",$J18=""),"",$J18-$I18)</f>
        <v/>
      </c>
      <c r="N18" s="10">
        <f>IF(OR($K18="",$L18=""),"",$L18-$K18)</f>
        <v/>
      </c>
      <c r="O18" s="10">
        <f>IF(OR($J18="",$L18=""),"",$L18-$J18)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  <c r="G19" s="7">
        <f>IF($B19="","",SUMIFS(Subetapas!$G:$G,Subetapas!$E:$E,$A19))</f>
        <v/>
      </c>
      <c r="H19" s="7">
        <f>IF($B19="","",SUMIFS(Subetapas!$H:$H,Subetapas!$E:$E,$A19))</f>
        <v/>
      </c>
      <c r="I19" s="5" t="n"/>
      <c r="J19" s="5" t="n"/>
      <c r="K19" s="5" t="n"/>
      <c r="L19" s="5" t="n"/>
      <c r="M19" s="10">
        <f>IF(OR($I19="",$J19=""),"",$J19-$I19)</f>
        <v/>
      </c>
      <c r="N19" s="10">
        <f>IF(OR($K19="",$L19=""),"",$L19-$K19)</f>
        <v/>
      </c>
      <c r="O19" s="10">
        <f>IF(OR($J19="",$L19=""),"",$L19-$J19)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  <c r="G20" s="7">
        <f>IF($B20="","",SUMIFS(Subetapas!$G:$G,Subetapas!$E:$E,$A20))</f>
        <v/>
      </c>
      <c r="H20" s="7">
        <f>IF($B20="","",SUMIFS(Subetapas!$H:$H,Subetapas!$E:$E,$A20))</f>
        <v/>
      </c>
      <c r="I20" s="5" t="n"/>
      <c r="J20" s="5" t="n"/>
      <c r="K20" s="5" t="n"/>
      <c r="L20" s="5" t="n"/>
      <c r="M20" s="10">
        <f>IF(OR($I20="",$J20=""),"",$J20-$I20)</f>
        <v/>
      </c>
      <c r="N20" s="10">
        <f>IF(OR($K20="",$L20=""),"",$L20-$K20)</f>
        <v/>
      </c>
      <c r="O20" s="10">
        <f>IF(OR($J20="",$L20=""),"",$L20-$J20)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  <c r="G21" s="7">
        <f>IF($B21="","",SUMIFS(Subetapas!$G:$G,Subetapas!$E:$E,$A21))</f>
        <v/>
      </c>
      <c r="H21" s="7">
        <f>IF($B21="","",SUMIFS(Subetapas!$H:$H,Subetapas!$E:$E,$A21))</f>
        <v/>
      </c>
      <c r="I21" s="5" t="n"/>
      <c r="J21" s="5" t="n"/>
      <c r="K21" s="5" t="n"/>
      <c r="L21" s="5" t="n"/>
      <c r="M21" s="10">
        <f>IF(OR($I21="",$J21=""),"",$J21-$I21)</f>
        <v/>
      </c>
      <c r="N21" s="10">
        <f>IF(OR($K21="",$L21=""),"",$L21-$K21)</f>
        <v/>
      </c>
      <c r="O21" s="10">
        <f>IF(OR($J21="",$L21=""),"",$L21-$J21)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  <c r="G22" s="7">
        <f>IF($B22="","",SUMIFS(Subetapas!$G:$G,Subetapas!$E:$E,$A22))</f>
        <v/>
      </c>
      <c r="H22" s="7">
        <f>IF($B22="","",SUMIFS(Subetapas!$H:$H,Subetapas!$E:$E,$A22))</f>
        <v/>
      </c>
      <c r="I22" s="5" t="n"/>
      <c r="J22" s="5" t="n"/>
      <c r="K22" s="5" t="n"/>
      <c r="L22" s="5" t="n"/>
      <c r="M22" s="10">
        <f>IF(OR($I22="",$J22=""),"",$J22-$I22)</f>
        <v/>
      </c>
      <c r="N22" s="10">
        <f>IF(OR($K22="",$L22=""),"",$L22-$K22)</f>
        <v/>
      </c>
      <c r="O22" s="10">
        <f>IF(OR($J22="",$L22=""),"",$L22-$J22)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  <c r="G23" s="7">
        <f>IF($B23="","",SUMIFS(Subetapas!$G:$G,Subetapas!$E:$E,$A23))</f>
        <v/>
      </c>
      <c r="H23" s="7">
        <f>IF($B23="","",SUMIFS(Subetapas!$H:$H,Subetapas!$E:$E,$A23))</f>
        <v/>
      </c>
      <c r="I23" s="5" t="n"/>
      <c r="J23" s="5" t="n"/>
      <c r="K23" s="5" t="n"/>
      <c r="L23" s="5" t="n"/>
      <c r="M23" s="10">
        <f>IF(OR($I23="",$J23=""),"",$J23-$I23)</f>
        <v/>
      </c>
      <c r="N23" s="10">
        <f>IF(OR($K23="",$L23=""),"",$L23-$K23)</f>
        <v/>
      </c>
      <c r="O23" s="10">
        <f>IF(OR($J23="",$L23=""),"",$L23-$J23)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  <c r="G24" s="7">
        <f>IF($B24="","",SUMIFS(Subetapas!$G:$G,Subetapas!$E:$E,$A24))</f>
        <v/>
      </c>
      <c r="H24" s="7">
        <f>IF($B24="","",SUMIFS(Subetapas!$H:$H,Subetapas!$E:$E,$A24))</f>
        <v/>
      </c>
      <c r="I24" s="5" t="n"/>
      <c r="J24" s="5" t="n"/>
      <c r="K24" s="5" t="n"/>
      <c r="L24" s="5" t="n"/>
      <c r="M24" s="10">
        <f>IF(OR($I24="",$J24=""),"",$J24-$I24)</f>
        <v/>
      </c>
      <c r="N24" s="10">
        <f>IF(OR($K24="",$L24=""),"",$L24-$K24)</f>
        <v/>
      </c>
      <c r="O24" s="10">
        <f>IF(OR($J24="",$L24=""),"",$L24-$J24)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  <c r="G25" s="7">
        <f>IF($B25="","",SUMIFS(Subetapas!$G:$G,Subetapas!$E:$E,$A25))</f>
        <v/>
      </c>
      <c r="H25" s="7">
        <f>IF($B25="","",SUMIFS(Subetapas!$H:$H,Subetapas!$E:$E,$A25))</f>
        <v/>
      </c>
      <c r="I25" s="5" t="n"/>
      <c r="J25" s="5" t="n"/>
      <c r="K25" s="5" t="n"/>
      <c r="L25" s="5" t="n"/>
      <c r="M25" s="10">
        <f>IF(OR($I25="",$J25=""),"",$J25-$I25)</f>
        <v/>
      </c>
      <c r="N25" s="10">
        <f>IF(OR($K25="",$L25=""),"",$L25-$K25)</f>
        <v/>
      </c>
      <c r="O25" s="10">
        <f>IF(OR($J25="",$L25=""),"",$L25-$J25)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  <c r="G26" s="7">
        <f>IF($B26="","",SUMIFS(Subetapas!$G:$G,Subetapas!$E:$E,$A26))</f>
        <v/>
      </c>
      <c r="H26" s="7">
        <f>IF($B26="","",SUMIFS(Subetapas!$H:$H,Subetapas!$E:$E,$A26))</f>
        <v/>
      </c>
      <c r="I26" s="5" t="n"/>
      <c r="J26" s="5" t="n"/>
      <c r="K26" s="5" t="n"/>
      <c r="L26" s="5" t="n"/>
      <c r="M26" s="10">
        <f>IF(OR($I26="",$J26=""),"",$J26-$I26)</f>
        <v/>
      </c>
      <c r="N26" s="10">
        <f>IF(OR($K26="",$L26=""),"",$L26-$K26)</f>
        <v/>
      </c>
      <c r="O26" s="10">
        <f>IF(OR($J26="",$L26=""),"",$L26-$J26)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  <c r="G27" s="7">
        <f>IF($B27="","",SUMIFS(Subetapas!$G:$G,Subetapas!$E:$E,$A27))</f>
        <v/>
      </c>
      <c r="H27" s="7">
        <f>IF($B27="","",SUMIFS(Subetapas!$H:$H,Subetapas!$E:$E,$A27))</f>
        <v/>
      </c>
      <c r="I27" s="5" t="n"/>
      <c r="J27" s="5" t="n"/>
      <c r="K27" s="5" t="n"/>
      <c r="L27" s="5" t="n"/>
      <c r="M27" s="10">
        <f>IF(OR($I27="",$J27=""),"",$J27-$I27)</f>
        <v/>
      </c>
      <c r="N27" s="10">
        <f>IF(OR($K27="",$L27=""),"",$L27-$K27)</f>
        <v/>
      </c>
      <c r="O27" s="10">
        <f>IF(OR($J27="",$L27=""),"",$L27-$J27)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  <c r="G28" s="7">
        <f>IF($B28="","",SUMIFS(Subetapas!$G:$G,Subetapas!$E:$E,$A28))</f>
        <v/>
      </c>
      <c r="H28" s="7">
        <f>IF($B28="","",SUMIFS(Subetapas!$H:$H,Subetapas!$E:$E,$A28))</f>
        <v/>
      </c>
      <c r="I28" s="5" t="n"/>
      <c r="J28" s="5" t="n"/>
      <c r="K28" s="5" t="n"/>
      <c r="L28" s="5" t="n"/>
      <c r="M28" s="10">
        <f>IF(OR($I28="",$J28=""),"",$J28-$I28)</f>
        <v/>
      </c>
      <c r="N28" s="10">
        <f>IF(OR($K28="",$L28=""),"",$L28-$K28)</f>
        <v/>
      </c>
      <c r="O28" s="10">
        <f>IF(OR($J28="",$L28=""),"",$L28-$J28)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  <c r="G29" s="7">
        <f>IF($B29="","",SUMIFS(Subetapas!$G:$G,Subetapas!$E:$E,$A29))</f>
        <v/>
      </c>
      <c r="H29" s="7">
        <f>IF($B29="","",SUMIFS(Subetapas!$H:$H,Subetapas!$E:$E,$A29))</f>
        <v/>
      </c>
      <c r="I29" s="5" t="n"/>
      <c r="J29" s="5" t="n"/>
      <c r="K29" s="5" t="n"/>
      <c r="L29" s="5" t="n"/>
      <c r="M29" s="10">
        <f>IF(OR($I29="",$J29=""),"",$J29-$I29)</f>
        <v/>
      </c>
      <c r="N29" s="10">
        <f>IF(OR($K29="",$L29=""),"",$L29-$K29)</f>
        <v/>
      </c>
      <c r="O29" s="10">
        <f>IF(OR($J29="",$L29=""),"",$L29-$J29)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  <c r="G30" s="7">
        <f>IF($B30="","",SUMIFS(Subetapas!$G:$G,Subetapas!$E:$E,$A30))</f>
        <v/>
      </c>
      <c r="H30" s="7">
        <f>IF($B30="","",SUMIFS(Subetapas!$H:$H,Subetapas!$E:$E,$A30))</f>
        <v/>
      </c>
      <c r="I30" s="5" t="n"/>
      <c r="J30" s="5" t="n"/>
      <c r="K30" s="5" t="n"/>
      <c r="L30" s="5" t="n"/>
      <c r="M30" s="10">
        <f>IF(OR($I30="",$J30=""),"",$J30-$I30)</f>
        <v/>
      </c>
      <c r="N30" s="10">
        <f>IF(OR($K30="",$L30=""),"",$L30-$K30)</f>
        <v/>
      </c>
      <c r="O30" s="10">
        <f>IF(OR($J30="",$L30=""),"",$L30-$J30)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  <c r="G31" s="7">
        <f>IF($B31="","",SUMIFS(Subetapas!$G:$G,Subetapas!$E:$E,$A31))</f>
        <v/>
      </c>
      <c r="H31" s="7">
        <f>IF($B31="","",SUMIFS(Subetapas!$H:$H,Subetapas!$E:$E,$A31))</f>
        <v/>
      </c>
      <c r="I31" s="5" t="n"/>
      <c r="J31" s="5" t="n"/>
      <c r="K31" s="5" t="n"/>
      <c r="L31" s="5" t="n"/>
      <c r="M31" s="10">
        <f>IF(OR($I31="",$J31=""),"",$J31-$I31)</f>
        <v/>
      </c>
      <c r="N31" s="10">
        <f>IF(OR($K31="",$L31=""),"",$L31-$K31)</f>
        <v/>
      </c>
      <c r="O31" s="10">
        <f>IF(OR($J31="",$L31=""),"",$L31-$J31)</f>
        <v/>
      </c>
    </row>
  </sheetData>
  <dataValidations count="6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COUNTIF(Lista_Etapas,B2)=1</formula1>
    </dataValidation>
    <dataValidation sqref="I2:I31" showDropDown="0" showInputMessage="0" showErrorMessage="1" allowBlank="1" errorTitle="Data inválida" error="Informe uma data válida." type="date" operator="greaterThanOrEqual">
      <formula1>DATE(1900,1,1)</formula1>
    </dataValidation>
    <dataValidation sqref="J2:J31" showDropDown="0" showInputMessage="0" showErrorMessage="1" allowBlank="1" errorTitle="Data inválida" error="Informe uma data válida." type="date" operator="greaterThanOrEqual">
      <formula1>DATE(1900,1,1)</formula1>
    </dataValidation>
    <dataValidation sqref="K2:K31" showDropDown="0" showInputMessage="0" showErrorMessage="1" allowBlank="1" errorTitle="Data inválida" error="Informe uma data válida." type="date" operator="greaterThanOrEqual">
      <formula1>DATE(1900,1,1)</formula1>
    </dataValidation>
    <dataValidation sqref="L2:L31" showDropDown="0" showInputMessage="0" showErrorMessage="1" allowBlank="1" errorTitle="Data inválida" error="Informe uma data válida." type="date" operator="greaterThanOrEqual">
      <formula1>DATE(1900,1,1)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  <col width="24" customWidth="1" min="7" max="7"/>
    <col width="28" customWidth="1" min="8" max="8"/>
    <col width="18" customWidth="1" min="9" max="9"/>
    <col width="18" customWidth="1" min="10" max="10"/>
    <col width="16" customWidth="1" min="11" max="11"/>
    <col width="16" customWidth="1" min="12" max="12"/>
    <col width="20" customWidth="1" min="13" max="13"/>
    <col width="18" customWidth="1" min="14" max="14"/>
    <col width="20" customWidth="1" min="15" max="15"/>
  </cols>
  <sheetData>
    <row r="1" ht="30" customHeight="1">
      <c r="A1" s="9" t="inlineStr">
        <is>
          <t>ID (técnico)</t>
        </is>
      </c>
      <c r="B1" s="9" t="inlineStr">
        <is>
          <t>Nome</t>
        </is>
      </c>
      <c r="C1" s="9" t="inlineStr">
        <is>
          <t>Etapa</t>
        </is>
      </c>
      <c r="D1" s="9" t="inlineStr">
        <is>
          <t>Status</t>
        </is>
      </c>
      <c r="E1" s="9" t="inlineStr">
        <is>
          <t>ID_Etapa (técnico)</t>
        </is>
      </c>
      <c r="F1" s="9" t="inlineStr">
        <is>
          <t>Total Previsto (Serviços)</t>
        </is>
      </c>
      <c r="G1" s="9" t="inlineStr">
        <is>
          <t>Peso Consolidado (Execução)</t>
        </is>
      </c>
      <c r="H1" s="9" t="inlineStr">
        <is>
          <t>Contribuição na Obra (Execução)</t>
        </is>
      </c>
      <c r="I1" s="9" t="inlineStr">
        <is>
          <t>Data Início Prevista</t>
        </is>
      </c>
      <c r="J1" s="9" t="inlineStr">
        <is>
          <t>Data Fim Prevista</t>
        </is>
      </c>
      <c r="K1" s="9" t="inlineStr">
        <is>
          <t>Data Início Real</t>
        </is>
      </c>
      <c r="L1" s="9" t="inlineStr">
        <is>
          <t>Data Fim Real</t>
        </is>
      </c>
      <c r="M1" s="9" t="inlineStr">
        <is>
          <t>Duração Prevista (dias)</t>
        </is>
      </c>
      <c r="N1" s="9" t="inlineStr">
        <is>
          <t>Duração Real (dias)</t>
        </is>
      </c>
      <c r="O1" s="9" t="inlineStr">
        <is>
          <t>Variação de Prazo (dias)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IF($B2="","",SUMIFS(Serviços!$J:$J,Serviços!$U:$U,$A2,Serviços!$L:$L,"&lt;&gt;Cancelado",Serviços!$L:$L,"&lt;&gt;Retirado do Escopo",Serviços!$L:$L,"&lt;&gt;Substituído"))</f>
        <v/>
      </c>
      <c r="G2" s="7">
        <f>IF($B2="","",SUMIFS(Serviços!$S:$S,Serviços!$U:$U,$A2))</f>
        <v/>
      </c>
      <c r="H2" s="7">
        <f>IF($B2="","",SUMIFS(Serviços!$T:$T,Serviços!$U:$U,$A2))</f>
        <v/>
      </c>
      <c r="I2" s="5" t="n"/>
      <c r="J2" s="5" t="n"/>
      <c r="K2" s="5" t="n"/>
      <c r="L2" s="5" t="n"/>
      <c r="M2" s="10">
        <f>IF(OR($I2="",$J2=""),"",$J2-$I2)</f>
        <v/>
      </c>
      <c r="N2" s="10">
        <f>IF(OR($K2="",$L2=""),"",$L2-$K2)</f>
        <v/>
      </c>
      <c r="O2" s="10">
        <f>IF(OR($J2="",$L2=""),"",$L2-$J2)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IF($B3="","",SUMIFS(Serviços!$J:$J,Serviços!$U:$U,$A3,Serviços!$L:$L,"&lt;&gt;Cancelado",Serviços!$L:$L,"&lt;&gt;Retirado do Escopo",Serviços!$L:$L,"&lt;&gt;Substituído"))</f>
        <v/>
      </c>
      <c r="G3" s="7">
        <f>IF($B3="","",SUMIFS(Serviços!$S:$S,Serviços!$U:$U,$A3))</f>
        <v/>
      </c>
      <c r="H3" s="7">
        <f>IF($B3="","",SUMIFS(Serviços!$T:$T,Serviços!$U:$U,$A3))</f>
        <v/>
      </c>
      <c r="I3" s="5" t="n"/>
      <c r="J3" s="5" t="n"/>
      <c r="K3" s="5" t="n"/>
      <c r="L3" s="5" t="n"/>
      <c r="M3" s="10">
        <f>IF(OR($I3="",$J3=""),"",$J3-$I3)</f>
        <v/>
      </c>
      <c r="N3" s="10">
        <f>IF(OR($K3="",$L3=""),"",$L3-$K3)</f>
        <v/>
      </c>
      <c r="O3" s="10">
        <f>IF(OR($J3="",$L3=""),"",$L3-$J3)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IF($B4="","",SUMIFS(Serviços!$J:$J,Serviços!$U:$U,$A4,Serviços!$L:$L,"&lt;&gt;Cancelado",Serviços!$L:$L,"&lt;&gt;Retirado do Escopo",Serviços!$L:$L,"&lt;&gt;Substituído"))</f>
        <v/>
      </c>
      <c r="G4" s="7">
        <f>IF($B4="","",SUMIFS(Serviços!$S:$S,Serviços!$U:$U,$A4))</f>
        <v/>
      </c>
      <c r="H4" s="7">
        <f>IF($B4="","",SUMIFS(Serviços!$T:$T,Serviços!$U:$U,$A4))</f>
        <v/>
      </c>
      <c r="I4" s="5" t="n"/>
      <c r="J4" s="5" t="n"/>
      <c r="K4" s="5" t="n"/>
      <c r="L4" s="5" t="n"/>
      <c r="M4" s="10">
        <f>IF(OR($I4="",$J4=""),"",$J4-$I4)</f>
        <v/>
      </c>
      <c r="N4" s="10">
        <f>IF(OR($K4="",$L4=""),"",$L4-$K4)</f>
        <v/>
      </c>
      <c r="O4" s="10">
        <f>IF(OR($J4="",$L4=""),"",$L4-$J4)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IF($B5="","",SUMIFS(Serviços!$J:$J,Serviços!$U:$U,$A5,Serviços!$L:$L,"&lt;&gt;Cancelado",Serviços!$L:$L,"&lt;&gt;Retirado do Escopo",Serviços!$L:$L,"&lt;&gt;Substituído"))</f>
        <v/>
      </c>
      <c r="G5" s="7">
        <f>IF($B5="","",SUMIFS(Serviços!$S:$S,Serviços!$U:$U,$A5))</f>
        <v/>
      </c>
      <c r="H5" s="7">
        <f>IF($B5="","",SUMIFS(Serviços!$T:$T,Serviços!$U:$U,$A5))</f>
        <v/>
      </c>
      <c r="I5" s="5" t="n"/>
      <c r="J5" s="5" t="n"/>
      <c r="K5" s="5" t="n"/>
      <c r="L5" s="5" t="n"/>
      <c r="M5" s="10">
        <f>IF(OR($I5="",$J5=""),"",$J5-$I5)</f>
        <v/>
      </c>
      <c r="N5" s="10">
        <f>IF(OR($K5="",$L5=""),"",$L5-$K5)</f>
        <v/>
      </c>
      <c r="O5" s="10">
        <f>IF(OR($J5="",$L5=""),"",$L5-$J5)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IF($B6="","",SUMIFS(Serviços!$J:$J,Serviços!$U:$U,$A6,Serviços!$L:$L,"&lt;&gt;Cancelado",Serviços!$L:$L,"&lt;&gt;Retirado do Escopo",Serviços!$L:$L,"&lt;&gt;Substituído"))</f>
        <v/>
      </c>
      <c r="G6" s="7">
        <f>IF($B6="","",SUMIFS(Serviços!$S:$S,Serviços!$U:$U,$A6))</f>
        <v/>
      </c>
      <c r="H6" s="7">
        <f>IF($B6="","",SUMIFS(Serviços!$T:$T,Serviços!$U:$U,$A6))</f>
        <v/>
      </c>
      <c r="I6" s="5" t="n"/>
      <c r="J6" s="5" t="n"/>
      <c r="K6" s="5" t="n"/>
      <c r="L6" s="5" t="n"/>
      <c r="M6" s="10">
        <f>IF(OR($I6="",$J6=""),"",$J6-$I6)</f>
        <v/>
      </c>
      <c r="N6" s="10">
        <f>IF(OR($K6="",$L6=""),"",$L6-$K6)</f>
        <v/>
      </c>
      <c r="O6" s="10">
        <f>IF(OR($J6="",$L6=""),"",$L6-$J6)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IF($B7="","",SUMIFS(Serviços!$J:$J,Serviços!$U:$U,$A7,Serviços!$L:$L,"&lt;&gt;Cancelado",Serviços!$L:$L,"&lt;&gt;Retirado do Escopo",Serviços!$L:$L,"&lt;&gt;Substituído"))</f>
        <v/>
      </c>
      <c r="G7" s="7">
        <f>IF($B7="","",SUMIFS(Serviços!$S:$S,Serviços!$U:$U,$A7))</f>
        <v/>
      </c>
      <c r="H7" s="7">
        <f>IF($B7="","",SUMIFS(Serviços!$T:$T,Serviços!$U:$U,$A7))</f>
        <v/>
      </c>
      <c r="I7" s="5" t="n"/>
      <c r="J7" s="5" t="n"/>
      <c r="K7" s="5" t="n"/>
      <c r="L7" s="5" t="n"/>
      <c r="M7" s="10">
        <f>IF(OR($I7="",$J7=""),"",$J7-$I7)</f>
        <v/>
      </c>
      <c r="N7" s="10">
        <f>IF(OR($K7="",$L7=""),"",$L7-$K7)</f>
        <v/>
      </c>
      <c r="O7" s="10">
        <f>IF(OR($J7="",$L7=""),"",$L7-$J7)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IF($B8="","",SUMIFS(Serviços!$J:$J,Serviços!$U:$U,$A8,Serviços!$L:$L,"&lt;&gt;Cancelado",Serviços!$L:$L,"&lt;&gt;Retirado do Escopo",Serviços!$L:$L,"&lt;&gt;Substituído"))</f>
        <v/>
      </c>
      <c r="G8" s="7">
        <f>IF($B8="","",SUMIFS(Serviços!$S:$S,Serviços!$U:$U,$A8))</f>
        <v/>
      </c>
      <c r="H8" s="7">
        <f>IF($B8="","",SUMIFS(Serviços!$T:$T,Serviços!$U:$U,$A8))</f>
        <v/>
      </c>
      <c r="I8" s="5" t="n"/>
      <c r="J8" s="5" t="n"/>
      <c r="K8" s="5" t="n"/>
      <c r="L8" s="5" t="n"/>
      <c r="M8" s="10">
        <f>IF(OR($I8="",$J8=""),"",$J8-$I8)</f>
        <v/>
      </c>
      <c r="N8" s="10">
        <f>IF(OR($K8="",$L8=""),"",$L8-$K8)</f>
        <v/>
      </c>
      <c r="O8" s="10">
        <f>IF(OR($J8="",$L8=""),"",$L8-$J8)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IF($B9="","",SUMIFS(Serviços!$J:$J,Serviços!$U:$U,$A9,Serviços!$L:$L,"&lt;&gt;Cancelado",Serviços!$L:$L,"&lt;&gt;Retirado do Escopo",Serviços!$L:$L,"&lt;&gt;Substituído"))</f>
        <v/>
      </c>
      <c r="G9" s="7">
        <f>IF($B9="","",SUMIFS(Serviços!$S:$S,Serviços!$U:$U,$A9))</f>
        <v/>
      </c>
      <c r="H9" s="7">
        <f>IF($B9="","",SUMIFS(Serviços!$T:$T,Serviços!$U:$U,$A9))</f>
        <v/>
      </c>
      <c r="I9" s="5" t="n"/>
      <c r="J9" s="5" t="n"/>
      <c r="K9" s="5" t="n"/>
      <c r="L9" s="5" t="n"/>
      <c r="M9" s="10">
        <f>IF(OR($I9="",$J9=""),"",$J9-$I9)</f>
        <v/>
      </c>
      <c r="N9" s="10">
        <f>IF(OR($K9="",$L9=""),"",$L9-$K9)</f>
        <v/>
      </c>
      <c r="O9" s="10">
        <f>IF(OR($J9="",$L9=""),"",$L9-$J9)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IF($B10="","",SUMIFS(Serviços!$J:$J,Serviços!$U:$U,$A10,Serviços!$L:$L,"&lt;&gt;Cancelado",Serviços!$L:$L,"&lt;&gt;Retirado do Escopo",Serviços!$L:$L,"&lt;&gt;Substituído"))</f>
        <v/>
      </c>
      <c r="G10" s="7">
        <f>IF($B10="","",SUMIFS(Serviços!$S:$S,Serviços!$U:$U,$A10))</f>
        <v/>
      </c>
      <c r="H10" s="7">
        <f>IF($B10="","",SUMIFS(Serviços!$T:$T,Serviços!$U:$U,$A10))</f>
        <v/>
      </c>
      <c r="I10" s="5" t="n"/>
      <c r="J10" s="5" t="n"/>
      <c r="K10" s="5" t="n"/>
      <c r="L10" s="5" t="n"/>
      <c r="M10" s="10">
        <f>IF(OR($I10="",$J10=""),"",$J10-$I10)</f>
        <v/>
      </c>
      <c r="N10" s="10">
        <f>IF(OR($K10="",$L10=""),"",$L10-$K10)</f>
        <v/>
      </c>
      <c r="O10" s="10">
        <f>IF(OR($J10="",$L10=""),"",$L10-$J10)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IF($B11="","",SUMIFS(Serviços!$J:$J,Serviços!$U:$U,$A11,Serviços!$L:$L,"&lt;&gt;Cancelado",Serviços!$L:$L,"&lt;&gt;Retirado do Escopo",Serviços!$L:$L,"&lt;&gt;Substituído"))</f>
        <v/>
      </c>
      <c r="G11" s="7">
        <f>IF($B11="","",SUMIFS(Serviços!$S:$S,Serviços!$U:$U,$A11))</f>
        <v/>
      </c>
      <c r="H11" s="7">
        <f>IF($B11="","",SUMIFS(Serviços!$T:$T,Serviços!$U:$U,$A11))</f>
        <v/>
      </c>
      <c r="I11" s="5" t="n"/>
      <c r="J11" s="5" t="n"/>
      <c r="K11" s="5" t="n"/>
      <c r="L11" s="5" t="n"/>
      <c r="M11" s="10">
        <f>IF(OR($I11="",$J11=""),"",$J11-$I11)</f>
        <v/>
      </c>
      <c r="N11" s="10">
        <f>IF(OR($K11="",$L11=""),"",$L11-$K11)</f>
        <v/>
      </c>
      <c r="O11" s="10">
        <f>IF(OR($J11="",$L11=""),"",$L11-$J11)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IF($B12="","",SUMIFS(Serviços!$J:$J,Serviços!$U:$U,$A12,Serviços!$L:$L,"&lt;&gt;Cancelado",Serviços!$L:$L,"&lt;&gt;Retirado do Escopo",Serviços!$L:$L,"&lt;&gt;Substituído"))</f>
        <v/>
      </c>
      <c r="G12" s="7">
        <f>IF($B12="","",SUMIFS(Serviços!$S:$S,Serviços!$U:$U,$A12))</f>
        <v/>
      </c>
      <c r="H12" s="7">
        <f>IF($B12="","",SUMIFS(Serviços!$T:$T,Serviços!$U:$U,$A12))</f>
        <v/>
      </c>
      <c r="I12" s="5" t="n"/>
      <c r="J12" s="5" t="n"/>
      <c r="K12" s="5" t="n"/>
      <c r="L12" s="5" t="n"/>
      <c r="M12" s="10">
        <f>IF(OR($I12="",$J12=""),"",$J12-$I12)</f>
        <v/>
      </c>
      <c r="N12" s="10">
        <f>IF(OR($K12="",$L12=""),"",$L12-$K12)</f>
        <v/>
      </c>
      <c r="O12" s="10">
        <f>IF(OR($J12="",$L12=""),"",$L12-$J12)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IF($B13="","",SUMIFS(Serviços!$J:$J,Serviços!$U:$U,$A13,Serviços!$L:$L,"&lt;&gt;Cancelado",Serviços!$L:$L,"&lt;&gt;Retirado do Escopo",Serviços!$L:$L,"&lt;&gt;Substituído"))</f>
        <v/>
      </c>
      <c r="G13" s="7">
        <f>IF($B13="","",SUMIFS(Serviços!$S:$S,Serviços!$U:$U,$A13))</f>
        <v/>
      </c>
      <c r="H13" s="7">
        <f>IF($B13="","",SUMIFS(Serviços!$T:$T,Serviços!$U:$U,$A13))</f>
        <v/>
      </c>
      <c r="I13" s="5" t="n"/>
      <c r="J13" s="5" t="n"/>
      <c r="K13" s="5" t="n"/>
      <c r="L13" s="5" t="n"/>
      <c r="M13" s="10">
        <f>IF(OR($I13="",$J13=""),"",$J13-$I13)</f>
        <v/>
      </c>
      <c r="N13" s="10">
        <f>IF(OR($K13="",$L13=""),"",$L13-$K13)</f>
        <v/>
      </c>
      <c r="O13" s="10">
        <f>IF(OR($J13="",$L13=""),"",$L13-$J13)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IF($B14="","",SUMIFS(Serviços!$J:$J,Serviços!$U:$U,$A14,Serviços!$L:$L,"&lt;&gt;Cancelado",Serviços!$L:$L,"&lt;&gt;Retirado do Escopo",Serviços!$L:$L,"&lt;&gt;Substituído"))</f>
        <v/>
      </c>
      <c r="G14" s="7">
        <f>IF($B14="","",SUMIFS(Serviços!$S:$S,Serviços!$U:$U,$A14))</f>
        <v/>
      </c>
      <c r="H14" s="7">
        <f>IF($B14="","",SUMIFS(Serviços!$T:$T,Serviços!$U:$U,$A14))</f>
        <v/>
      </c>
      <c r="I14" s="5" t="n"/>
      <c r="J14" s="5" t="n"/>
      <c r="K14" s="5" t="n"/>
      <c r="L14" s="5" t="n"/>
      <c r="M14" s="10">
        <f>IF(OR($I14="",$J14=""),"",$J14-$I14)</f>
        <v/>
      </c>
      <c r="N14" s="10">
        <f>IF(OR($K14="",$L14=""),"",$L14-$K14)</f>
        <v/>
      </c>
      <c r="O14" s="10">
        <f>IF(OR($J14="",$L14=""),"",$L14-$J14)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IF($B15="","",SUMIFS(Serviços!$J:$J,Serviços!$U:$U,$A15,Serviços!$L:$L,"&lt;&gt;Cancelado",Serviços!$L:$L,"&lt;&gt;Retirado do Escopo",Serviços!$L:$L,"&lt;&gt;Substituído"))</f>
        <v/>
      </c>
      <c r="G15" s="7">
        <f>IF($B15="","",SUMIFS(Serviços!$S:$S,Serviços!$U:$U,$A15))</f>
        <v/>
      </c>
      <c r="H15" s="7">
        <f>IF($B15="","",SUMIFS(Serviços!$T:$T,Serviços!$U:$U,$A15))</f>
        <v/>
      </c>
      <c r="I15" s="5" t="n"/>
      <c r="J15" s="5" t="n"/>
      <c r="K15" s="5" t="n"/>
      <c r="L15" s="5" t="n"/>
      <c r="M15" s="10">
        <f>IF(OR($I15="",$J15=""),"",$J15-$I15)</f>
        <v/>
      </c>
      <c r="N15" s="10">
        <f>IF(OR($K15="",$L15=""),"",$L15-$K15)</f>
        <v/>
      </c>
      <c r="O15" s="10">
        <f>IF(OR($J15="",$L15=""),"",$L15-$J15)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IF($B16="","",SUMIFS(Serviços!$J:$J,Serviços!$U:$U,$A16,Serviços!$L:$L,"&lt;&gt;Cancelado",Serviços!$L:$L,"&lt;&gt;Retirado do Escopo",Serviços!$L:$L,"&lt;&gt;Substituído"))</f>
        <v/>
      </c>
      <c r="G16" s="7">
        <f>IF($B16="","",SUMIFS(Serviços!$S:$S,Serviços!$U:$U,$A16))</f>
        <v/>
      </c>
      <c r="H16" s="7">
        <f>IF($B16="","",SUMIFS(Serviços!$T:$T,Serviços!$U:$U,$A16))</f>
        <v/>
      </c>
      <c r="I16" s="5" t="n"/>
      <c r="J16" s="5" t="n"/>
      <c r="K16" s="5" t="n"/>
      <c r="L16" s="5" t="n"/>
      <c r="M16" s="10">
        <f>IF(OR($I16="",$J16=""),"",$J16-$I16)</f>
        <v/>
      </c>
      <c r="N16" s="10">
        <f>IF(OR($K16="",$L16=""),"",$L16-$K16)</f>
        <v/>
      </c>
      <c r="O16" s="10">
        <f>IF(OR($J16="",$L16=""),"",$L16-$J16)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IF($B17="","",SUMIFS(Serviços!$J:$J,Serviços!$U:$U,$A17,Serviços!$L:$L,"&lt;&gt;Cancelado",Serviços!$L:$L,"&lt;&gt;Retirado do Escopo",Serviços!$L:$L,"&lt;&gt;Substituído"))</f>
        <v/>
      </c>
      <c r="G17" s="7">
        <f>IF($B17="","",SUMIFS(Serviços!$S:$S,Serviços!$U:$U,$A17))</f>
        <v/>
      </c>
      <c r="H17" s="7">
        <f>IF($B17="","",SUMIFS(Serviços!$T:$T,Serviços!$U:$U,$A17))</f>
        <v/>
      </c>
      <c r="I17" s="5" t="n"/>
      <c r="J17" s="5" t="n"/>
      <c r="K17" s="5" t="n"/>
      <c r="L17" s="5" t="n"/>
      <c r="M17" s="10">
        <f>IF(OR($I17="",$J17=""),"",$J17-$I17)</f>
        <v/>
      </c>
      <c r="N17" s="10">
        <f>IF(OR($K17="",$L17=""),"",$L17-$K17)</f>
        <v/>
      </c>
      <c r="O17" s="10">
        <f>IF(OR($J17="",$L17=""),"",$L17-$J17)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IF($B18="","",SUMIFS(Serviços!$J:$J,Serviços!$U:$U,$A18,Serviços!$L:$L,"&lt;&gt;Cancelado",Serviços!$L:$L,"&lt;&gt;Retirado do Escopo",Serviços!$L:$L,"&lt;&gt;Substituído"))</f>
        <v/>
      </c>
      <c r="G18" s="7">
        <f>IF($B18="","",SUMIFS(Serviços!$S:$S,Serviços!$U:$U,$A18))</f>
        <v/>
      </c>
      <c r="H18" s="7">
        <f>IF($B18="","",SUMIFS(Serviços!$T:$T,Serviços!$U:$U,$A18))</f>
        <v/>
      </c>
      <c r="I18" s="5" t="n"/>
      <c r="J18" s="5" t="n"/>
      <c r="K18" s="5" t="n"/>
      <c r="L18" s="5" t="n"/>
      <c r="M18" s="10">
        <f>IF(OR($I18="",$J18=""),"",$J18-$I18)</f>
        <v/>
      </c>
      <c r="N18" s="10">
        <f>IF(OR($K18="",$L18=""),"",$L18-$K18)</f>
        <v/>
      </c>
      <c r="O18" s="10">
        <f>IF(OR($J18="",$L18=""),"",$L18-$J18)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IF($B19="","",SUMIFS(Serviços!$J:$J,Serviços!$U:$U,$A19,Serviços!$L:$L,"&lt;&gt;Cancelado",Serviços!$L:$L,"&lt;&gt;Retirado do Escopo",Serviços!$L:$L,"&lt;&gt;Substituído"))</f>
        <v/>
      </c>
      <c r="G19" s="7">
        <f>IF($B19="","",SUMIFS(Serviços!$S:$S,Serviços!$U:$U,$A19))</f>
        <v/>
      </c>
      <c r="H19" s="7">
        <f>IF($B19="","",SUMIFS(Serviços!$T:$T,Serviços!$U:$U,$A19))</f>
        <v/>
      </c>
      <c r="I19" s="5" t="n"/>
      <c r="J19" s="5" t="n"/>
      <c r="K19" s="5" t="n"/>
      <c r="L19" s="5" t="n"/>
      <c r="M19" s="10">
        <f>IF(OR($I19="",$J19=""),"",$J19-$I19)</f>
        <v/>
      </c>
      <c r="N19" s="10">
        <f>IF(OR($K19="",$L19=""),"",$L19-$K19)</f>
        <v/>
      </c>
      <c r="O19" s="10">
        <f>IF(OR($J19="",$L19=""),"",$L19-$J19)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IF($B20="","",SUMIFS(Serviços!$J:$J,Serviços!$U:$U,$A20,Serviços!$L:$L,"&lt;&gt;Cancelado",Serviços!$L:$L,"&lt;&gt;Retirado do Escopo",Serviços!$L:$L,"&lt;&gt;Substituído"))</f>
        <v/>
      </c>
      <c r="G20" s="7">
        <f>IF($B20="","",SUMIFS(Serviços!$S:$S,Serviços!$U:$U,$A20))</f>
        <v/>
      </c>
      <c r="H20" s="7">
        <f>IF($B20="","",SUMIFS(Serviços!$T:$T,Serviços!$U:$U,$A20))</f>
        <v/>
      </c>
      <c r="I20" s="5" t="n"/>
      <c r="J20" s="5" t="n"/>
      <c r="K20" s="5" t="n"/>
      <c r="L20" s="5" t="n"/>
      <c r="M20" s="10">
        <f>IF(OR($I20="",$J20=""),"",$J20-$I20)</f>
        <v/>
      </c>
      <c r="N20" s="10">
        <f>IF(OR($K20="",$L20=""),"",$L20-$K20)</f>
        <v/>
      </c>
      <c r="O20" s="10">
        <f>IF(OR($J20="",$L20=""),"",$L20-$J20)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IF($B21="","",SUMIFS(Serviços!$J:$J,Serviços!$U:$U,$A21,Serviços!$L:$L,"&lt;&gt;Cancelado",Serviços!$L:$L,"&lt;&gt;Retirado do Escopo",Serviços!$L:$L,"&lt;&gt;Substituído"))</f>
        <v/>
      </c>
      <c r="G21" s="7">
        <f>IF($B21="","",SUMIFS(Serviços!$S:$S,Serviços!$U:$U,$A21))</f>
        <v/>
      </c>
      <c r="H21" s="7">
        <f>IF($B21="","",SUMIFS(Serviços!$T:$T,Serviços!$U:$U,$A21))</f>
        <v/>
      </c>
      <c r="I21" s="5" t="n"/>
      <c r="J21" s="5" t="n"/>
      <c r="K21" s="5" t="n"/>
      <c r="L21" s="5" t="n"/>
      <c r="M21" s="10">
        <f>IF(OR($I21="",$J21=""),"",$J21-$I21)</f>
        <v/>
      </c>
      <c r="N21" s="10">
        <f>IF(OR($K21="",$L21=""),"",$L21-$K21)</f>
        <v/>
      </c>
      <c r="O21" s="10">
        <f>IF(OR($J21="",$L21=""),"",$L21-$J21)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IF($B22="","",SUMIFS(Serviços!$J:$J,Serviços!$U:$U,$A22,Serviços!$L:$L,"&lt;&gt;Cancelado",Serviços!$L:$L,"&lt;&gt;Retirado do Escopo",Serviços!$L:$L,"&lt;&gt;Substituído"))</f>
        <v/>
      </c>
      <c r="G22" s="7">
        <f>IF($B22="","",SUMIFS(Serviços!$S:$S,Serviços!$U:$U,$A22))</f>
        <v/>
      </c>
      <c r="H22" s="7">
        <f>IF($B22="","",SUMIFS(Serviços!$T:$T,Serviços!$U:$U,$A22))</f>
        <v/>
      </c>
      <c r="I22" s="5" t="n"/>
      <c r="J22" s="5" t="n"/>
      <c r="K22" s="5" t="n"/>
      <c r="L22" s="5" t="n"/>
      <c r="M22" s="10">
        <f>IF(OR($I22="",$J22=""),"",$J22-$I22)</f>
        <v/>
      </c>
      <c r="N22" s="10">
        <f>IF(OR($K22="",$L22=""),"",$L22-$K22)</f>
        <v/>
      </c>
      <c r="O22" s="10">
        <f>IF(OR($J22="",$L22=""),"",$L22-$J22)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IF($B23="","",SUMIFS(Serviços!$J:$J,Serviços!$U:$U,$A23,Serviços!$L:$L,"&lt;&gt;Cancelado",Serviços!$L:$L,"&lt;&gt;Retirado do Escopo",Serviços!$L:$L,"&lt;&gt;Substituído"))</f>
        <v/>
      </c>
      <c r="G23" s="7">
        <f>IF($B23="","",SUMIFS(Serviços!$S:$S,Serviços!$U:$U,$A23))</f>
        <v/>
      </c>
      <c r="H23" s="7">
        <f>IF($B23="","",SUMIFS(Serviços!$T:$T,Serviços!$U:$U,$A23))</f>
        <v/>
      </c>
      <c r="I23" s="5" t="n"/>
      <c r="J23" s="5" t="n"/>
      <c r="K23" s="5" t="n"/>
      <c r="L23" s="5" t="n"/>
      <c r="M23" s="10">
        <f>IF(OR($I23="",$J23=""),"",$J23-$I23)</f>
        <v/>
      </c>
      <c r="N23" s="10">
        <f>IF(OR($K23="",$L23=""),"",$L23-$K23)</f>
        <v/>
      </c>
      <c r="O23" s="10">
        <f>IF(OR($J23="",$L23=""),"",$L23-$J23)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IF($B24="","",SUMIFS(Serviços!$J:$J,Serviços!$U:$U,$A24,Serviços!$L:$L,"&lt;&gt;Cancelado",Serviços!$L:$L,"&lt;&gt;Retirado do Escopo",Serviços!$L:$L,"&lt;&gt;Substituído"))</f>
        <v/>
      </c>
      <c r="G24" s="7">
        <f>IF($B24="","",SUMIFS(Serviços!$S:$S,Serviços!$U:$U,$A24))</f>
        <v/>
      </c>
      <c r="H24" s="7">
        <f>IF($B24="","",SUMIFS(Serviços!$T:$T,Serviços!$U:$U,$A24))</f>
        <v/>
      </c>
      <c r="I24" s="5" t="n"/>
      <c r="J24" s="5" t="n"/>
      <c r="K24" s="5" t="n"/>
      <c r="L24" s="5" t="n"/>
      <c r="M24" s="10">
        <f>IF(OR($I24="",$J24=""),"",$J24-$I24)</f>
        <v/>
      </c>
      <c r="N24" s="10">
        <f>IF(OR($K24="",$L24=""),"",$L24-$K24)</f>
        <v/>
      </c>
      <c r="O24" s="10">
        <f>IF(OR($J24="",$L24=""),"",$L24-$J24)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IF($B25="","",SUMIFS(Serviços!$J:$J,Serviços!$U:$U,$A25,Serviços!$L:$L,"&lt;&gt;Cancelado",Serviços!$L:$L,"&lt;&gt;Retirado do Escopo",Serviços!$L:$L,"&lt;&gt;Substituído"))</f>
        <v/>
      </c>
      <c r="G25" s="7">
        <f>IF($B25="","",SUMIFS(Serviços!$S:$S,Serviços!$U:$U,$A25))</f>
        <v/>
      </c>
      <c r="H25" s="7">
        <f>IF($B25="","",SUMIFS(Serviços!$T:$T,Serviços!$U:$U,$A25))</f>
        <v/>
      </c>
      <c r="I25" s="5" t="n"/>
      <c r="J25" s="5" t="n"/>
      <c r="K25" s="5" t="n"/>
      <c r="L25" s="5" t="n"/>
      <c r="M25" s="10">
        <f>IF(OR($I25="",$J25=""),"",$J25-$I25)</f>
        <v/>
      </c>
      <c r="N25" s="10">
        <f>IF(OR($K25="",$L25=""),"",$L25-$K25)</f>
        <v/>
      </c>
      <c r="O25" s="10">
        <f>IF(OR($J25="",$L25=""),"",$L25-$J25)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IF($B26="","",SUMIFS(Serviços!$J:$J,Serviços!$U:$U,$A26,Serviços!$L:$L,"&lt;&gt;Cancelado",Serviços!$L:$L,"&lt;&gt;Retirado do Escopo",Serviços!$L:$L,"&lt;&gt;Substituído"))</f>
        <v/>
      </c>
      <c r="G26" s="7">
        <f>IF($B26="","",SUMIFS(Serviços!$S:$S,Serviços!$U:$U,$A26))</f>
        <v/>
      </c>
      <c r="H26" s="7">
        <f>IF($B26="","",SUMIFS(Serviços!$T:$T,Serviços!$U:$U,$A26))</f>
        <v/>
      </c>
      <c r="I26" s="5" t="n"/>
      <c r="J26" s="5" t="n"/>
      <c r="K26" s="5" t="n"/>
      <c r="L26" s="5" t="n"/>
      <c r="M26" s="10">
        <f>IF(OR($I26="",$J26=""),"",$J26-$I26)</f>
        <v/>
      </c>
      <c r="N26" s="10">
        <f>IF(OR($K26="",$L26=""),"",$L26-$K26)</f>
        <v/>
      </c>
      <c r="O26" s="10">
        <f>IF(OR($J26="",$L26=""),"",$L26-$J26)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IF($B27="","",SUMIFS(Serviços!$J:$J,Serviços!$U:$U,$A27,Serviços!$L:$L,"&lt;&gt;Cancelado",Serviços!$L:$L,"&lt;&gt;Retirado do Escopo",Serviços!$L:$L,"&lt;&gt;Substituído"))</f>
        <v/>
      </c>
      <c r="G27" s="7">
        <f>IF($B27="","",SUMIFS(Serviços!$S:$S,Serviços!$U:$U,$A27))</f>
        <v/>
      </c>
      <c r="H27" s="7">
        <f>IF($B27="","",SUMIFS(Serviços!$T:$T,Serviços!$U:$U,$A27))</f>
        <v/>
      </c>
      <c r="I27" s="5" t="n"/>
      <c r="J27" s="5" t="n"/>
      <c r="K27" s="5" t="n"/>
      <c r="L27" s="5" t="n"/>
      <c r="M27" s="10">
        <f>IF(OR($I27="",$J27=""),"",$J27-$I27)</f>
        <v/>
      </c>
      <c r="N27" s="10">
        <f>IF(OR($K27="",$L27=""),"",$L27-$K27)</f>
        <v/>
      </c>
      <c r="O27" s="10">
        <f>IF(OR($J27="",$L27=""),"",$L27-$J27)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IF($B28="","",SUMIFS(Serviços!$J:$J,Serviços!$U:$U,$A28,Serviços!$L:$L,"&lt;&gt;Cancelado",Serviços!$L:$L,"&lt;&gt;Retirado do Escopo",Serviços!$L:$L,"&lt;&gt;Substituído"))</f>
        <v/>
      </c>
      <c r="G28" s="7">
        <f>IF($B28="","",SUMIFS(Serviços!$S:$S,Serviços!$U:$U,$A28))</f>
        <v/>
      </c>
      <c r="H28" s="7">
        <f>IF($B28="","",SUMIFS(Serviços!$T:$T,Serviços!$U:$U,$A28))</f>
        <v/>
      </c>
      <c r="I28" s="5" t="n"/>
      <c r="J28" s="5" t="n"/>
      <c r="K28" s="5" t="n"/>
      <c r="L28" s="5" t="n"/>
      <c r="M28" s="10">
        <f>IF(OR($I28="",$J28=""),"",$J28-$I28)</f>
        <v/>
      </c>
      <c r="N28" s="10">
        <f>IF(OR($K28="",$L28=""),"",$L28-$K28)</f>
        <v/>
      </c>
      <c r="O28" s="10">
        <f>IF(OR($J28="",$L28=""),"",$L28-$J28)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IF($B29="","",SUMIFS(Serviços!$J:$J,Serviços!$U:$U,$A29,Serviços!$L:$L,"&lt;&gt;Cancelado",Serviços!$L:$L,"&lt;&gt;Retirado do Escopo",Serviços!$L:$L,"&lt;&gt;Substituído"))</f>
        <v/>
      </c>
      <c r="G29" s="7">
        <f>IF($B29="","",SUMIFS(Serviços!$S:$S,Serviços!$U:$U,$A29))</f>
        <v/>
      </c>
      <c r="H29" s="7">
        <f>IF($B29="","",SUMIFS(Serviços!$T:$T,Serviços!$U:$U,$A29))</f>
        <v/>
      </c>
      <c r="I29" s="5" t="n"/>
      <c r="J29" s="5" t="n"/>
      <c r="K29" s="5" t="n"/>
      <c r="L29" s="5" t="n"/>
      <c r="M29" s="10">
        <f>IF(OR($I29="",$J29=""),"",$J29-$I29)</f>
        <v/>
      </c>
      <c r="N29" s="10">
        <f>IF(OR($K29="",$L29=""),"",$L29-$K29)</f>
        <v/>
      </c>
      <c r="O29" s="10">
        <f>IF(OR($J29="",$L29=""),"",$L29-$J29)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IF($B30="","",SUMIFS(Serviços!$J:$J,Serviços!$U:$U,$A30,Serviços!$L:$L,"&lt;&gt;Cancelado",Serviços!$L:$L,"&lt;&gt;Retirado do Escopo",Serviços!$L:$L,"&lt;&gt;Substituído"))</f>
        <v/>
      </c>
      <c r="G30" s="7">
        <f>IF($B30="","",SUMIFS(Serviços!$S:$S,Serviços!$U:$U,$A30))</f>
        <v/>
      </c>
      <c r="H30" s="7">
        <f>IF($B30="","",SUMIFS(Serviços!$T:$T,Serviços!$U:$U,$A30))</f>
        <v/>
      </c>
      <c r="I30" s="5" t="n"/>
      <c r="J30" s="5" t="n"/>
      <c r="K30" s="5" t="n"/>
      <c r="L30" s="5" t="n"/>
      <c r="M30" s="10">
        <f>IF(OR($I30="",$J30=""),"",$J30-$I30)</f>
        <v/>
      </c>
      <c r="N30" s="10">
        <f>IF(OR($K30="",$L30=""),"",$L30-$K30)</f>
        <v/>
      </c>
      <c r="O30" s="10">
        <f>IF(OR($J30="",$L30=""),"",$L30-$J30)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IF($B31="","",SUMIFS(Serviços!$J:$J,Serviços!$U:$U,$A31,Serviços!$L:$L,"&lt;&gt;Cancelado",Serviços!$L:$L,"&lt;&gt;Retirado do Escopo",Serviços!$L:$L,"&lt;&gt;Substituído"))</f>
        <v/>
      </c>
      <c r="G31" s="7">
        <f>IF($B31="","",SUMIFS(Serviços!$S:$S,Serviços!$U:$U,$A31))</f>
        <v/>
      </c>
      <c r="H31" s="7">
        <f>IF($B31="","",SUMIFS(Serviços!$T:$T,Serviços!$U:$U,$A31))</f>
        <v/>
      </c>
      <c r="I31" s="5" t="n"/>
      <c r="J31" s="5" t="n"/>
      <c r="K31" s="5" t="n"/>
      <c r="L31" s="5" t="n"/>
      <c r="M31" s="10">
        <f>IF(OR($I31="",$J31=""),"",$J31-$I31)</f>
        <v/>
      </c>
      <c r="N31" s="10">
        <f>IF(OR($K31="",$L31=""),"",$L31-$K31)</f>
        <v/>
      </c>
      <c r="O31" s="10">
        <f>IF(OR($J31="",$L31=""),"",$L31-$J31)</f>
        <v/>
      </c>
    </row>
  </sheetData>
  <dataValidations count="6">
    <dataValidation sqref="C2:C31" showDropDown="0" showInputMessage="0" showErrorMessage="1" allowBlank="1" errorTitle="Etapa inválida" error="Selecione uma Etapa já cadastrada na aba Etapas." type="list">
      <formula1>Lista_Etapas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COUNTIF(Lista_Subetapas,B2)=1</formula1>
    </dataValidation>
    <dataValidation sqref="I2:I31" showDropDown="0" showInputMessage="0" showErrorMessage="1" allowBlank="1" errorTitle="Data inválida" error="Informe uma data válida." type="date" operator="greaterThanOrEqual">
      <formula1>DATE(1900,1,1)</formula1>
    </dataValidation>
    <dataValidation sqref="J2:J31" showDropDown="0" showInputMessage="0" showErrorMessage="1" allowBlank="1" errorTitle="Data inválida" error="Informe uma data válida." type="date" operator="greaterThanOrEqual">
      <formula1>DATE(1900,1,1)</formula1>
    </dataValidation>
    <dataValidation sqref="K2:K31" showDropDown="0" showInputMessage="0" showErrorMessage="1" allowBlank="1" errorTitle="Data inválida" error="Informe uma data válida." type="date" operator="greaterThanOrEqual">
      <formula1>DATE(1900,1,1)</formula1>
    </dataValidation>
    <dataValidation sqref="L2:L31" showDropDown="0" showInputMessage="0" showErrorMessage="1" allowBlank="1" errorTitle="Data inválida" error="Informe uma data válida." type="date" operator="greaterThanOrEqual">
      <formula1>DATE(1900,1,1)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width="18" customWidth="1" min="13" max="13"/>
    <col width="18" customWidth="1" min="14" max="14"/>
    <col width="20" customWidth="1" min="15" max="15"/>
    <col width="20" customWidth="1" min="16" max="16"/>
    <col width="20" customWidth="1" min="17" max="17"/>
    <col width="16" customWidth="1" min="18" max="18"/>
    <col width="16" customWidth="1" min="19" max="19"/>
    <col width="18" customWidth="1" min="20" max="20"/>
    <col hidden="1" width="18" customWidth="1" min="21" max="21"/>
  </cols>
  <sheetData>
    <row r="1" ht="30" customHeight="1">
      <c r="A1" s="9" t="inlineStr">
        <is>
          <t>ID (técnico)</t>
        </is>
      </c>
      <c r="B1" s="9" t="inlineStr">
        <is>
          <t>Descrição</t>
        </is>
      </c>
      <c r="C1" s="9" t="inlineStr">
        <is>
          <t>Subetapa</t>
        </is>
      </c>
      <c r="D1" s="9" t="inlineStr">
        <is>
          <t>Unidade de Medida</t>
        </is>
      </c>
      <c r="E1" s="9" t="inlineStr">
        <is>
          <t>Quantidade Orçada</t>
        </is>
      </c>
      <c r="F1" s="9" t="inlineStr">
        <is>
          <t>Valor Unitário</t>
        </is>
      </c>
      <c r="G1" s="9" t="inlineStr">
        <is>
          <t>Valor Calculado</t>
        </is>
      </c>
      <c r="H1" s="9" t="inlineStr">
        <is>
          <t>Valor Previsto (Ajuste Manual)</t>
        </is>
      </c>
      <c r="I1" s="9" t="inlineStr">
        <is>
          <t>Ajuste Manual</t>
        </is>
      </c>
      <c r="J1" s="9" t="inlineStr">
        <is>
          <t>Valor Previsto</t>
        </is>
      </c>
      <c r="K1" s="9" t="inlineStr">
        <is>
          <t>Variação</t>
        </is>
      </c>
      <c r="L1" s="9" t="inlineStr">
        <is>
          <t>Status</t>
        </is>
      </c>
      <c r="M1" s="9" t="inlineStr">
        <is>
          <t>Método de Execução</t>
        </is>
      </c>
      <c r="N1" s="9" t="inlineStr">
        <is>
          <t>Status de Execução</t>
        </is>
      </c>
      <c r="O1" s="9" t="inlineStr">
        <is>
          <t>Qtd. Executada (acum.)</t>
        </is>
      </c>
      <c r="P1" s="9" t="inlineStr">
        <is>
          <t>% Execução do Serviço</t>
        </is>
      </c>
      <c r="Q1" s="9" t="inlineStr">
        <is>
          <t>Peso Ajustado (manual)</t>
        </is>
      </c>
      <c r="R1" s="9" t="inlineStr">
        <is>
          <t>Peso Automático</t>
        </is>
      </c>
      <c r="S1" s="9" t="inlineStr">
        <is>
          <t>Peso Efetivo</t>
        </is>
      </c>
      <c r="T1" s="9" t="inlineStr">
        <is>
          <t>Contribuição na Obra</t>
        </is>
      </c>
      <c r="U1" s="9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11" t="n"/>
      <c r="F2" s="11" t="n"/>
      <c r="G2" s="6">
        <f>IF(OR($E2="",$F2=""),"",$E2*$F2)</f>
        <v/>
      </c>
      <c r="H2" s="11" t="n"/>
      <c r="I2" s="12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 t="n"/>
      <c r="N2" s="4" t="n"/>
      <c r="O2" s="6">
        <f>IF($A2="","",SUMIFS(Execução!$D:$D,Execução!$F:$F,$A2))</f>
        <v/>
      </c>
      <c r="P2" s="7">
        <f>IF($A2="","",IF($M2="Quantitativo",IF(OR($E2="",$E2=0),"",$O2/$E2),IF($M2="Status",IF($N2="Pendente",0,IF($N2="Em andamento",0.5,IF($N2="Concluído",1,""))),"")))</f>
        <v/>
      </c>
      <c r="Q2" s="13" t="n"/>
      <c r="R2" s="7">
        <f>IF(OR($A2="",$L2="Cancelado",$L2="Retirado do Escopo",$L2="Substituído",$J2=""),"",IF(SUMIFS($J:$J,$L:$L,"&lt;&gt;Cancelado",$L:$L,"&lt;&gt;Retirado do Escopo",$L:$L,"&lt;&gt;Substituído",$J:$J,"&lt;&gt;")=0,"N/D",$J2/SUMIFS($J:$J,$L:$L,"&lt;&gt;Cancelado",$L:$L,"&lt;&gt;Retirado do Escopo",$L:$L,"&lt;&gt;Substituído",$J:$J,"&lt;&gt;")))</f>
        <v/>
      </c>
      <c r="S2" s="7">
        <f>IF(OR($A2="",$L2="Cancelado",$L2="Retirado do Escopo",$L2="Substituído",$J2=""),"",IF($Q2&lt;&gt;"",$Q2,IF(SUMIFS($R:$R,$L:$L,"&lt;&gt;Cancelado",$L:$L,"&lt;&gt;Retirado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" s="7">
        <f>IF(OR($S2="",$P2=""),"",$S2*$P2)</f>
        <v/>
      </c>
      <c r="U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11" t="n"/>
      <c r="F3" s="11" t="n"/>
      <c r="G3" s="6">
        <f>IF(OR($E3="",$F3=""),"",$E3*$F3)</f>
        <v/>
      </c>
      <c r="H3" s="11" t="n"/>
      <c r="I3" s="12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 t="n"/>
      <c r="N3" s="4" t="n"/>
      <c r="O3" s="6">
        <f>IF($A3="","",SUMIFS(Execução!$D:$D,Execução!$F:$F,$A3))</f>
        <v/>
      </c>
      <c r="P3" s="7">
        <f>IF($A3="","",IF($M3="Quantitativo",IF(OR($E3="",$E3=0),"",$O3/$E3),IF($M3="Status",IF($N3="Pendente",0,IF($N3="Em andamento",0.5,IF($N3="Concluído",1,""))),"")))</f>
        <v/>
      </c>
      <c r="Q3" s="13" t="n"/>
      <c r="R3" s="7">
        <f>IF(OR($A3="",$L3="Cancelado",$L3="Retirado do Escopo",$L3="Substituído",$J3=""),"",IF(SUMIFS($J:$J,$L:$L,"&lt;&gt;Cancelado",$L:$L,"&lt;&gt;Retirado do Escopo",$L:$L,"&lt;&gt;Substituído",$J:$J,"&lt;&gt;")=0,"N/D",$J3/SUMIFS($J:$J,$L:$L,"&lt;&gt;Cancelado",$L:$L,"&lt;&gt;Retirado do Escopo",$L:$L,"&lt;&gt;Substituído",$J:$J,"&lt;&gt;")))</f>
        <v/>
      </c>
      <c r="S3" s="7">
        <f>IF(OR($A3="",$L3="Cancelado",$L3="Retirado do Escopo",$L3="Substituído",$J3=""),"",IF($Q3&lt;&gt;"",$Q3,IF(SUMIFS($R:$R,$L:$L,"&lt;&gt;Cancelado",$L:$L,"&lt;&gt;Retirado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(manual)]=""))),$R3/SUMIFS($R:$R,$L:$L,"&lt;&gt;Cancelado",$L:$L,"&lt;&gt;Retirado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3" s="7">
        <f>IF(OR($S3="",$P3=""),"",$S3*$P3)</f>
        <v/>
      </c>
      <c r="U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11" t="n"/>
      <c r="F4" s="11" t="n"/>
      <c r="G4" s="6">
        <f>IF(OR($E4="",$F4=""),"",$E4*$F4)</f>
        <v/>
      </c>
      <c r="H4" s="11" t="n"/>
      <c r="I4" s="12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 t="n"/>
      <c r="N4" s="4" t="n"/>
      <c r="O4" s="6">
        <f>IF($A4="","",SUMIFS(Execução!$D:$D,Execução!$F:$F,$A4))</f>
        <v/>
      </c>
      <c r="P4" s="7">
        <f>IF($A4="","",IF($M4="Quantitativo",IF(OR($E4="",$E4=0),"",$O4/$E4),IF($M4="Status",IF($N4="Pendente",0,IF($N4="Em andamento",0.5,IF($N4="Concluído",1,""))),"")))</f>
        <v/>
      </c>
      <c r="Q4" s="13" t="n"/>
      <c r="R4" s="7">
        <f>IF(OR($A4="",$L4="Cancelado",$L4="Retirado do Escopo",$L4="Substituído",$J4=""),"",IF(SUMIFS($J:$J,$L:$L,"&lt;&gt;Cancelado",$L:$L,"&lt;&gt;Retirado do Escopo",$L:$L,"&lt;&gt;Substituído",$J:$J,"&lt;&gt;")=0,"N/D",$J4/SUMIFS($J:$J,$L:$L,"&lt;&gt;Cancelado",$L:$L,"&lt;&gt;Retirado do Escopo",$L:$L,"&lt;&gt;Substituído",$J:$J,"&lt;&gt;")))</f>
        <v/>
      </c>
      <c r="S4" s="7">
        <f>IF(OR($A4="",$L4="Cancelado",$L4="Retirado do Escopo",$L4="Substituído",$J4=""),"",IF($Q4&lt;&gt;"",$Q4,IF(SUMIFS($R:$R,$L:$L,"&lt;&gt;Cancelado",$L:$L,"&lt;&gt;Retirado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(manual)]=""))),$R4/SUMIFS($R:$R,$L:$L,"&lt;&gt;Cancelado",$L:$L,"&lt;&gt;Retirado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4" s="7">
        <f>IF(OR($S4="",$P4=""),"",$S4*$P4)</f>
        <v/>
      </c>
      <c r="U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11" t="n"/>
      <c r="F5" s="11" t="n"/>
      <c r="G5" s="6">
        <f>IF(OR($E5="",$F5=""),"",$E5*$F5)</f>
        <v/>
      </c>
      <c r="H5" s="11" t="n"/>
      <c r="I5" s="12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 t="n"/>
      <c r="N5" s="4" t="n"/>
      <c r="O5" s="6">
        <f>IF($A5="","",SUMIFS(Execução!$D:$D,Execução!$F:$F,$A5))</f>
        <v/>
      </c>
      <c r="P5" s="7">
        <f>IF($A5="","",IF($M5="Quantitativo",IF(OR($E5="",$E5=0),"",$O5/$E5),IF($M5="Status",IF($N5="Pendente",0,IF($N5="Em andamento",0.5,IF($N5="Concluído",1,""))),"")))</f>
        <v/>
      </c>
      <c r="Q5" s="13" t="n"/>
      <c r="R5" s="7">
        <f>IF(OR($A5="",$L5="Cancelado",$L5="Retirado do Escopo",$L5="Substituído",$J5=""),"",IF(SUMIFS($J:$J,$L:$L,"&lt;&gt;Cancelado",$L:$L,"&lt;&gt;Retirado do Escopo",$L:$L,"&lt;&gt;Substituído",$J:$J,"&lt;&gt;")=0,"N/D",$J5/SUMIFS($J:$J,$L:$L,"&lt;&gt;Cancelado",$L:$L,"&lt;&gt;Retirado do Escopo",$L:$L,"&lt;&gt;Substituído",$J:$J,"&lt;&gt;")))</f>
        <v/>
      </c>
      <c r="S5" s="7">
        <f>IF(OR($A5="",$L5="Cancelado",$L5="Retirado do Escopo",$L5="Substituído",$J5=""),"",IF($Q5&lt;&gt;"",$Q5,IF(SUMIFS($R:$R,$L:$L,"&lt;&gt;Cancelado",$L:$L,"&lt;&gt;Retirado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(manual)]=""))),$R5/SUMIFS($R:$R,$L:$L,"&lt;&gt;Cancelado",$L:$L,"&lt;&gt;Retirado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5" s="7">
        <f>IF(OR($S5="",$P5=""),"",$S5*$P5)</f>
        <v/>
      </c>
      <c r="U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11" t="n"/>
      <c r="F6" s="11" t="n"/>
      <c r="G6" s="6">
        <f>IF(OR($E6="",$F6=""),"",$E6*$F6)</f>
        <v/>
      </c>
      <c r="H6" s="11" t="n"/>
      <c r="I6" s="12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 t="n"/>
      <c r="N6" s="4" t="n"/>
      <c r="O6" s="6">
        <f>IF($A6="","",SUMIFS(Execução!$D:$D,Execução!$F:$F,$A6))</f>
        <v/>
      </c>
      <c r="P6" s="7">
        <f>IF($A6="","",IF($M6="Quantitativo",IF(OR($E6="",$E6=0),"",$O6/$E6),IF($M6="Status",IF($N6="Pendente",0,IF($N6="Em andamento",0.5,IF($N6="Concluído",1,""))),"")))</f>
        <v/>
      </c>
      <c r="Q6" s="13" t="n"/>
      <c r="R6" s="7">
        <f>IF(OR($A6="",$L6="Cancelado",$L6="Retirado do Escopo",$L6="Substituído",$J6=""),"",IF(SUMIFS($J:$J,$L:$L,"&lt;&gt;Cancelado",$L:$L,"&lt;&gt;Retirado do Escopo",$L:$L,"&lt;&gt;Substituído",$J:$J,"&lt;&gt;")=0,"N/D",$J6/SUMIFS($J:$J,$L:$L,"&lt;&gt;Cancelado",$L:$L,"&lt;&gt;Retirado do Escopo",$L:$L,"&lt;&gt;Substituído",$J:$J,"&lt;&gt;")))</f>
        <v/>
      </c>
      <c r="S6" s="7">
        <f>IF(OR($A6="",$L6="Cancelado",$L6="Retirado do Escopo",$L6="Substituído",$J6=""),"",IF($Q6&lt;&gt;"",$Q6,IF(SUMIFS($R:$R,$L:$L,"&lt;&gt;Cancelado",$L:$L,"&lt;&gt;Retirado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(manual)]=""))),$R6/SUMIFS($R:$R,$L:$L,"&lt;&gt;Cancelado",$L:$L,"&lt;&gt;Retirado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6" s="7">
        <f>IF(OR($S6="",$P6=""),"",$S6*$P6)</f>
        <v/>
      </c>
      <c r="U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11" t="n"/>
      <c r="F7" s="11" t="n"/>
      <c r="G7" s="6">
        <f>IF(OR($E7="",$F7=""),"",$E7*$F7)</f>
        <v/>
      </c>
      <c r="H7" s="11" t="n"/>
      <c r="I7" s="12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 t="n"/>
      <c r="N7" s="4" t="n"/>
      <c r="O7" s="6">
        <f>IF($A7="","",SUMIFS(Execução!$D:$D,Execução!$F:$F,$A7))</f>
        <v/>
      </c>
      <c r="P7" s="7">
        <f>IF($A7="","",IF($M7="Quantitativo",IF(OR($E7="",$E7=0),"",$O7/$E7),IF($M7="Status",IF($N7="Pendente",0,IF($N7="Em andamento",0.5,IF($N7="Concluído",1,""))),"")))</f>
        <v/>
      </c>
      <c r="Q7" s="13" t="n"/>
      <c r="R7" s="7">
        <f>IF(OR($A7="",$L7="Cancelado",$L7="Retirado do Escopo",$L7="Substituído",$J7=""),"",IF(SUMIFS($J:$J,$L:$L,"&lt;&gt;Cancelado",$L:$L,"&lt;&gt;Retirado do Escopo",$L:$L,"&lt;&gt;Substituído",$J:$J,"&lt;&gt;")=0,"N/D",$J7/SUMIFS($J:$J,$L:$L,"&lt;&gt;Cancelado",$L:$L,"&lt;&gt;Retirado do Escopo",$L:$L,"&lt;&gt;Substituído",$J:$J,"&lt;&gt;")))</f>
        <v/>
      </c>
      <c r="S7" s="7">
        <f>IF(OR($A7="",$L7="Cancelado",$L7="Retirado do Escopo",$L7="Substituído",$J7=""),"",IF($Q7&lt;&gt;"",$Q7,IF(SUMIFS($R:$R,$L:$L,"&lt;&gt;Cancelado",$L:$L,"&lt;&gt;Retirado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(manual)]=""))),$R7/SUMIFS($R:$R,$L:$L,"&lt;&gt;Cancelado",$L:$L,"&lt;&gt;Retirado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7" s="7">
        <f>IF(OR($S7="",$P7=""),"",$S7*$P7)</f>
        <v/>
      </c>
      <c r="U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11" t="n"/>
      <c r="F8" s="11" t="n"/>
      <c r="G8" s="6">
        <f>IF(OR($E8="",$F8=""),"",$E8*$F8)</f>
        <v/>
      </c>
      <c r="H8" s="11" t="n"/>
      <c r="I8" s="12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 t="n"/>
      <c r="N8" s="4" t="n"/>
      <c r="O8" s="6">
        <f>IF($A8="","",SUMIFS(Execução!$D:$D,Execução!$F:$F,$A8))</f>
        <v/>
      </c>
      <c r="P8" s="7">
        <f>IF($A8="","",IF($M8="Quantitativo",IF(OR($E8="",$E8=0),"",$O8/$E8),IF($M8="Status",IF($N8="Pendente",0,IF($N8="Em andamento",0.5,IF($N8="Concluído",1,""))),"")))</f>
        <v/>
      </c>
      <c r="Q8" s="13" t="n"/>
      <c r="R8" s="7">
        <f>IF(OR($A8="",$L8="Cancelado",$L8="Retirado do Escopo",$L8="Substituído",$J8=""),"",IF(SUMIFS($J:$J,$L:$L,"&lt;&gt;Cancelado",$L:$L,"&lt;&gt;Retirado do Escopo",$L:$L,"&lt;&gt;Substituído",$J:$J,"&lt;&gt;")=0,"N/D",$J8/SUMIFS($J:$J,$L:$L,"&lt;&gt;Cancelado",$L:$L,"&lt;&gt;Retirado do Escopo",$L:$L,"&lt;&gt;Substituído",$J:$J,"&lt;&gt;")))</f>
        <v/>
      </c>
      <c r="S8" s="7">
        <f>IF(OR($A8="",$L8="Cancelado",$L8="Retirado do Escopo",$L8="Substituído",$J8=""),"",IF($Q8&lt;&gt;"",$Q8,IF(SUMIFS($R:$R,$L:$L,"&lt;&gt;Cancelado",$L:$L,"&lt;&gt;Retirado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(manual)]=""))),$R8/SUMIFS($R:$R,$L:$L,"&lt;&gt;Cancelado",$L:$L,"&lt;&gt;Retirado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8" s="7">
        <f>IF(OR($S8="",$P8=""),"",$S8*$P8)</f>
        <v/>
      </c>
      <c r="U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11" t="n"/>
      <c r="F9" s="11" t="n"/>
      <c r="G9" s="6">
        <f>IF(OR($E9="",$F9=""),"",$E9*$F9)</f>
        <v/>
      </c>
      <c r="H9" s="11" t="n"/>
      <c r="I9" s="12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 t="n"/>
      <c r="N9" s="4" t="n"/>
      <c r="O9" s="6">
        <f>IF($A9="","",SUMIFS(Execução!$D:$D,Execução!$F:$F,$A9))</f>
        <v/>
      </c>
      <c r="P9" s="7">
        <f>IF($A9="","",IF($M9="Quantitativo",IF(OR($E9="",$E9=0),"",$O9/$E9),IF($M9="Status",IF($N9="Pendente",0,IF($N9="Em andamento",0.5,IF($N9="Concluído",1,""))),"")))</f>
        <v/>
      </c>
      <c r="Q9" s="13" t="n"/>
      <c r="R9" s="7">
        <f>IF(OR($A9="",$L9="Cancelado",$L9="Retirado do Escopo",$L9="Substituído",$J9=""),"",IF(SUMIFS($J:$J,$L:$L,"&lt;&gt;Cancelado",$L:$L,"&lt;&gt;Retirado do Escopo",$L:$L,"&lt;&gt;Substituído",$J:$J,"&lt;&gt;")=0,"N/D",$J9/SUMIFS($J:$J,$L:$L,"&lt;&gt;Cancelado",$L:$L,"&lt;&gt;Retirado do Escopo",$L:$L,"&lt;&gt;Substituído",$J:$J,"&lt;&gt;")))</f>
        <v/>
      </c>
      <c r="S9" s="7">
        <f>IF(OR($A9="",$L9="Cancelado",$L9="Retirado do Escopo",$L9="Substituído",$J9=""),"",IF($Q9&lt;&gt;"",$Q9,IF(SUMIFS($R:$R,$L:$L,"&lt;&gt;Cancelado",$L:$L,"&lt;&gt;Retirado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(manual)]=""))),$R9/SUMIFS($R:$R,$L:$L,"&lt;&gt;Cancelado",$L:$L,"&lt;&gt;Retirado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9" s="7">
        <f>IF(OR($S9="",$P9=""),"",$S9*$P9)</f>
        <v/>
      </c>
      <c r="U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11" t="n"/>
      <c r="F10" s="11" t="n"/>
      <c r="G10" s="6">
        <f>IF(OR($E10="",$F10=""),"",$E10*$F10)</f>
        <v/>
      </c>
      <c r="H10" s="11" t="n"/>
      <c r="I10" s="12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 t="n"/>
      <c r="N10" s="4" t="n"/>
      <c r="O10" s="6">
        <f>IF($A10="","",SUMIFS(Execução!$D:$D,Execução!$F:$F,$A10))</f>
        <v/>
      </c>
      <c r="P10" s="7">
        <f>IF($A10="","",IF($M10="Quantitativo",IF(OR($E10="",$E10=0),"",$O10/$E10),IF($M10="Status",IF($N10="Pendente",0,IF($N10="Em andamento",0.5,IF($N10="Concluído",1,""))),"")))</f>
        <v/>
      </c>
      <c r="Q10" s="13" t="n"/>
      <c r="R10" s="7">
        <f>IF(OR($A10="",$L10="Cancelado",$L10="Retirado do Escopo",$L10="Substituído",$J10=""),"",IF(SUMIFS($J:$J,$L:$L,"&lt;&gt;Cancelado",$L:$L,"&lt;&gt;Retirado do Escopo",$L:$L,"&lt;&gt;Substituído",$J:$J,"&lt;&gt;")=0,"N/D",$J10/SUMIFS($J:$J,$L:$L,"&lt;&gt;Cancelado",$L:$L,"&lt;&gt;Retirado do Escopo",$L:$L,"&lt;&gt;Substituído",$J:$J,"&lt;&gt;")))</f>
        <v/>
      </c>
      <c r="S10" s="7">
        <f>IF(OR($A10="",$L10="Cancelado",$L10="Retirado do Escopo",$L10="Substituído",$J10=""),"",IF($Q10&lt;&gt;"",$Q10,IF(SUMIFS($R:$R,$L:$L,"&lt;&gt;Cancelado",$L:$L,"&lt;&gt;Retirado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(manual)]=""))),$R10/SUMIFS($R:$R,$L:$L,"&lt;&gt;Cancelado",$L:$L,"&lt;&gt;Retirado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0" s="7">
        <f>IF(OR($S10="",$P10=""),"",$S10*$P10)</f>
        <v/>
      </c>
      <c r="U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11" t="n"/>
      <c r="F11" s="11" t="n"/>
      <c r="G11" s="6">
        <f>IF(OR($E11="",$F11=""),"",$E11*$F11)</f>
        <v/>
      </c>
      <c r="H11" s="11" t="n"/>
      <c r="I11" s="12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 t="n"/>
      <c r="N11" s="4" t="n"/>
      <c r="O11" s="6">
        <f>IF($A11="","",SUMIFS(Execução!$D:$D,Execução!$F:$F,$A11))</f>
        <v/>
      </c>
      <c r="P11" s="7">
        <f>IF($A11="","",IF($M11="Quantitativo",IF(OR($E11="",$E11=0),"",$O11/$E11),IF($M11="Status",IF($N11="Pendente",0,IF($N11="Em andamento",0.5,IF($N11="Concluído",1,""))),"")))</f>
        <v/>
      </c>
      <c r="Q11" s="13" t="n"/>
      <c r="R11" s="7">
        <f>IF(OR($A11="",$L11="Cancelado",$L11="Retirado do Escopo",$L11="Substituído",$J11=""),"",IF(SUMIFS($J:$J,$L:$L,"&lt;&gt;Cancelado",$L:$L,"&lt;&gt;Retirado do Escopo",$L:$L,"&lt;&gt;Substituído",$J:$J,"&lt;&gt;")=0,"N/D",$J11/SUMIFS($J:$J,$L:$L,"&lt;&gt;Cancelado",$L:$L,"&lt;&gt;Retirado do Escopo",$L:$L,"&lt;&gt;Substituído",$J:$J,"&lt;&gt;")))</f>
        <v/>
      </c>
      <c r="S11" s="7">
        <f>IF(OR($A11="",$L11="Cancelado",$L11="Retirado do Escopo",$L11="Substituído",$J11=""),"",IF($Q11&lt;&gt;"",$Q11,IF(SUMIFS($R:$R,$L:$L,"&lt;&gt;Cancelado",$L:$L,"&lt;&gt;Retirado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(manual)]=""))),$R11/SUMIFS($R:$R,$L:$L,"&lt;&gt;Cancelado",$L:$L,"&lt;&gt;Retirado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1" s="7">
        <f>IF(OR($S11="",$P11=""),"",$S11*$P11)</f>
        <v/>
      </c>
      <c r="U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11" t="n"/>
      <c r="F12" s="11" t="n"/>
      <c r="G12" s="6">
        <f>IF(OR($E12="",$F12=""),"",$E12*$F12)</f>
        <v/>
      </c>
      <c r="H12" s="11" t="n"/>
      <c r="I12" s="12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 t="n"/>
      <c r="N12" s="4" t="n"/>
      <c r="O12" s="6">
        <f>IF($A12="","",SUMIFS(Execução!$D:$D,Execução!$F:$F,$A12))</f>
        <v/>
      </c>
      <c r="P12" s="7">
        <f>IF($A12="","",IF($M12="Quantitativo",IF(OR($E12="",$E12=0),"",$O12/$E12),IF($M12="Status",IF($N12="Pendente",0,IF($N12="Em andamento",0.5,IF($N12="Concluído",1,""))),"")))</f>
        <v/>
      </c>
      <c r="Q12" s="13" t="n"/>
      <c r="R12" s="7">
        <f>IF(OR($A12="",$L12="Cancelado",$L12="Retirado do Escopo",$L12="Substituído",$J12=""),"",IF(SUMIFS($J:$J,$L:$L,"&lt;&gt;Cancelado",$L:$L,"&lt;&gt;Retirado do Escopo",$L:$L,"&lt;&gt;Substituído",$J:$J,"&lt;&gt;")=0,"N/D",$J12/SUMIFS($J:$J,$L:$L,"&lt;&gt;Cancelado",$L:$L,"&lt;&gt;Retirado do Escopo",$L:$L,"&lt;&gt;Substituído",$J:$J,"&lt;&gt;")))</f>
        <v/>
      </c>
      <c r="S12" s="7">
        <f>IF(OR($A12="",$L12="Cancelado",$L12="Retirado do Escopo",$L12="Substituído",$J12=""),"",IF($Q12&lt;&gt;"",$Q12,IF(SUMIFS($R:$R,$L:$L,"&lt;&gt;Cancelado",$L:$L,"&lt;&gt;Retirado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(manual)]=""))),$R12/SUMIFS($R:$R,$L:$L,"&lt;&gt;Cancelado",$L:$L,"&lt;&gt;Retirado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2" s="7">
        <f>IF(OR($S12="",$P12=""),"",$S12*$P12)</f>
        <v/>
      </c>
      <c r="U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11" t="n"/>
      <c r="F13" s="11" t="n"/>
      <c r="G13" s="6">
        <f>IF(OR($E13="",$F13=""),"",$E13*$F13)</f>
        <v/>
      </c>
      <c r="H13" s="11" t="n"/>
      <c r="I13" s="12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 t="n"/>
      <c r="N13" s="4" t="n"/>
      <c r="O13" s="6">
        <f>IF($A13="","",SUMIFS(Execução!$D:$D,Execução!$F:$F,$A13))</f>
        <v/>
      </c>
      <c r="P13" s="7">
        <f>IF($A13="","",IF($M13="Quantitativo",IF(OR($E13="",$E13=0),"",$O13/$E13),IF($M13="Status",IF($N13="Pendente",0,IF($N13="Em andamento",0.5,IF($N13="Concluído",1,""))),"")))</f>
        <v/>
      </c>
      <c r="Q13" s="13" t="n"/>
      <c r="R13" s="7">
        <f>IF(OR($A13="",$L13="Cancelado",$L13="Retirado do Escopo",$L13="Substituído",$J13=""),"",IF(SUMIFS($J:$J,$L:$L,"&lt;&gt;Cancelado",$L:$L,"&lt;&gt;Retirado do Escopo",$L:$L,"&lt;&gt;Substituído",$J:$J,"&lt;&gt;")=0,"N/D",$J13/SUMIFS($J:$J,$L:$L,"&lt;&gt;Cancelado",$L:$L,"&lt;&gt;Retirado do Escopo",$L:$L,"&lt;&gt;Substituído",$J:$J,"&lt;&gt;")))</f>
        <v/>
      </c>
      <c r="S13" s="7">
        <f>IF(OR($A13="",$L13="Cancelado",$L13="Retirado do Escopo",$L13="Substituído",$J13=""),"",IF($Q13&lt;&gt;"",$Q13,IF(SUMIFS($R:$R,$L:$L,"&lt;&gt;Cancelado",$L:$L,"&lt;&gt;Retirado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(manual)]=""))),$R13/SUMIFS($R:$R,$L:$L,"&lt;&gt;Cancelado",$L:$L,"&lt;&gt;Retirado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3" s="7">
        <f>IF(OR($S13="",$P13=""),"",$S13*$P13)</f>
        <v/>
      </c>
      <c r="U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11" t="n"/>
      <c r="F14" s="11" t="n"/>
      <c r="G14" s="6">
        <f>IF(OR($E14="",$F14=""),"",$E14*$F14)</f>
        <v/>
      </c>
      <c r="H14" s="11" t="n"/>
      <c r="I14" s="12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 t="n"/>
      <c r="N14" s="4" t="n"/>
      <c r="O14" s="6">
        <f>IF($A14="","",SUMIFS(Execução!$D:$D,Execução!$F:$F,$A14))</f>
        <v/>
      </c>
      <c r="P14" s="7">
        <f>IF($A14="","",IF($M14="Quantitativo",IF(OR($E14="",$E14=0),"",$O14/$E14),IF($M14="Status",IF($N14="Pendente",0,IF($N14="Em andamento",0.5,IF($N14="Concluído",1,""))),"")))</f>
        <v/>
      </c>
      <c r="Q14" s="13" t="n"/>
      <c r="R14" s="7">
        <f>IF(OR($A14="",$L14="Cancelado",$L14="Retirado do Escopo",$L14="Substituído",$J14=""),"",IF(SUMIFS($J:$J,$L:$L,"&lt;&gt;Cancelado",$L:$L,"&lt;&gt;Retirado do Escopo",$L:$L,"&lt;&gt;Substituído",$J:$J,"&lt;&gt;")=0,"N/D",$J14/SUMIFS($J:$J,$L:$L,"&lt;&gt;Cancelado",$L:$L,"&lt;&gt;Retirado do Escopo",$L:$L,"&lt;&gt;Substituído",$J:$J,"&lt;&gt;")))</f>
        <v/>
      </c>
      <c r="S14" s="7">
        <f>IF(OR($A14="",$L14="Cancelado",$L14="Retirado do Escopo",$L14="Substituído",$J14=""),"",IF($Q14&lt;&gt;"",$Q14,IF(SUMIFS($R:$R,$L:$L,"&lt;&gt;Cancelado",$L:$L,"&lt;&gt;Retirado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(manual)]=""))),$R14/SUMIFS($R:$R,$L:$L,"&lt;&gt;Cancelado",$L:$L,"&lt;&gt;Retirado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4" s="7">
        <f>IF(OR($S14="",$P14=""),"",$S14*$P14)</f>
        <v/>
      </c>
      <c r="U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11" t="n"/>
      <c r="F15" s="11" t="n"/>
      <c r="G15" s="6">
        <f>IF(OR($E15="",$F15=""),"",$E15*$F15)</f>
        <v/>
      </c>
      <c r="H15" s="11" t="n"/>
      <c r="I15" s="12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 t="n"/>
      <c r="N15" s="4" t="n"/>
      <c r="O15" s="6">
        <f>IF($A15="","",SUMIFS(Execução!$D:$D,Execução!$F:$F,$A15))</f>
        <v/>
      </c>
      <c r="P15" s="7">
        <f>IF($A15="","",IF($M15="Quantitativo",IF(OR($E15="",$E15=0),"",$O15/$E15),IF($M15="Status",IF($N15="Pendente",0,IF($N15="Em andamento",0.5,IF($N15="Concluído",1,""))),"")))</f>
        <v/>
      </c>
      <c r="Q15" s="13" t="n"/>
      <c r="R15" s="7">
        <f>IF(OR($A15="",$L15="Cancelado",$L15="Retirado do Escopo",$L15="Substituído",$J15=""),"",IF(SUMIFS($J:$J,$L:$L,"&lt;&gt;Cancelado",$L:$L,"&lt;&gt;Retirado do Escopo",$L:$L,"&lt;&gt;Substituído",$J:$J,"&lt;&gt;")=0,"N/D",$J15/SUMIFS($J:$J,$L:$L,"&lt;&gt;Cancelado",$L:$L,"&lt;&gt;Retirado do Escopo",$L:$L,"&lt;&gt;Substituído",$J:$J,"&lt;&gt;")))</f>
        <v/>
      </c>
      <c r="S15" s="7">
        <f>IF(OR($A15="",$L15="Cancelado",$L15="Retirado do Escopo",$L15="Substituído",$J15=""),"",IF($Q15&lt;&gt;"",$Q15,IF(SUMIFS($R:$R,$L:$L,"&lt;&gt;Cancelado",$L:$L,"&lt;&gt;Retirado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(manual)]=""))),$R15/SUMIFS($R:$R,$L:$L,"&lt;&gt;Cancelado",$L:$L,"&lt;&gt;Retirado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5" s="7">
        <f>IF(OR($S15="",$P15=""),"",$S15*$P15)</f>
        <v/>
      </c>
      <c r="U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11" t="n"/>
      <c r="F16" s="11" t="n"/>
      <c r="G16" s="6">
        <f>IF(OR($E16="",$F16=""),"",$E16*$F16)</f>
        <v/>
      </c>
      <c r="H16" s="11" t="n"/>
      <c r="I16" s="12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 t="n"/>
      <c r="N16" s="4" t="n"/>
      <c r="O16" s="6">
        <f>IF($A16="","",SUMIFS(Execução!$D:$D,Execução!$F:$F,$A16))</f>
        <v/>
      </c>
      <c r="P16" s="7">
        <f>IF($A16="","",IF($M16="Quantitativo",IF(OR($E16="",$E16=0),"",$O16/$E16),IF($M16="Status",IF($N16="Pendente",0,IF($N16="Em andamento",0.5,IF($N16="Concluído",1,""))),"")))</f>
        <v/>
      </c>
      <c r="Q16" s="13" t="n"/>
      <c r="R16" s="7">
        <f>IF(OR($A16="",$L16="Cancelado",$L16="Retirado do Escopo",$L16="Substituído",$J16=""),"",IF(SUMIFS($J:$J,$L:$L,"&lt;&gt;Cancelado",$L:$L,"&lt;&gt;Retirado do Escopo",$L:$L,"&lt;&gt;Substituído",$J:$J,"&lt;&gt;")=0,"N/D",$J16/SUMIFS($J:$J,$L:$L,"&lt;&gt;Cancelado",$L:$L,"&lt;&gt;Retirado do Escopo",$L:$L,"&lt;&gt;Substituído",$J:$J,"&lt;&gt;")))</f>
        <v/>
      </c>
      <c r="S16" s="7">
        <f>IF(OR($A16="",$L16="Cancelado",$L16="Retirado do Escopo",$L16="Substituído",$J16=""),"",IF($Q16&lt;&gt;"",$Q16,IF(SUMIFS($R:$R,$L:$L,"&lt;&gt;Cancelado",$L:$L,"&lt;&gt;Retirado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(manual)]=""))),$R16/SUMIFS($R:$R,$L:$L,"&lt;&gt;Cancelado",$L:$L,"&lt;&gt;Retirado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6" s="7">
        <f>IF(OR($S16="",$P16=""),"",$S16*$P16)</f>
        <v/>
      </c>
      <c r="U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11" t="n"/>
      <c r="F17" s="11" t="n"/>
      <c r="G17" s="6">
        <f>IF(OR($E17="",$F17=""),"",$E17*$F17)</f>
        <v/>
      </c>
      <c r="H17" s="11" t="n"/>
      <c r="I17" s="12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 t="n"/>
      <c r="N17" s="4" t="n"/>
      <c r="O17" s="6">
        <f>IF($A17="","",SUMIFS(Execução!$D:$D,Execução!$F:$F,$A17))</f>
        <v/>
      </c>
      <c r="P17" s="7">
        <f>IF($A17="","",IF($M17="Quantitativo",IF(OR($E17="",$E17=0),"",$O17/$E17),IF($M17="Status",IF($N17="Pendente",0,IF($N17="Em andamento",0.5,IF($N17="Concluído",1,""))),"")))</f>
        <v/>
      </c>
      <c r="Q17" s="13" t="n"/>
      <c r="R17" s="7">
        <f>IF(OR($A17="",$L17="Cancelado",$L17="Retirado do Escopo",$L17="Substituído",$J17=""),"",IF(SUMIFS($J:$J,$L:$L,"&lt;&gt;Cancelado",$L:$L,"&lt;&gt;Retirado do Escopo",$L:$L,"&lt;&gt;Substituído",$J:$J,"&lt;&gt;")=0,"N/D",$J17/SUMIFS($J:$J,$L:$L,"&lt;&gt;Cancelado",$L:$L,"&lt;&gt;Retirado do Escopo",$L:$L,"&lt;&gt;Substituído",$J:$J,"&lt;&gt;")))</f>
        <v/>
      </c>
      <c r="S17" s="7">
        <f>IF(OR($A17="",$L17="Cancelado",$L17="Retirado do Escopo",$L17="Substituído",$J17=""),"",IF($Q17&lt;&gt;"",$Q17,IF(SUMIFS($R:$R,$L:$L,"&lt;&gt;Cancelado",$L:$L,"&lt;&gt;Retirado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(manual)]=""))),$R17/SUMIFS($R:$R,$L:$L,"&lt;&gt;Cancelado",$L:$L,"&lt;&gt;Retirado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7" s="7">
        <f>IF(OR($S17="",$P17=""),"",$S17*$P17)</f>
        <v/>
      </c>
      <c r="U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11" t="n"/>
      <c r="F18" s="11" t="n"/>
      <c r="G18" s="6">
        <f>IF(OR($E18="",$F18=""),"",$E18*$F18)</f>
        <v/>
      </c>
      <c r="H18" s="11" t="n"/>
      <c r="I18" s="12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 t="n"/>
      <c r="N18" s="4" t="n"/>
      <c r="O18" s="6">
        <f>IF($A18="","",SUMIFS(Execução!$D:$D,Execução!$F:$F,$A18))</f>
        <v/>
      </c>
      <c r="P18" s="7">
        <f>IF($A18="","",IF($M18="Quantitativo",IF(OR($E18="",$E18=0),"",$O18/$E18),IF($M18="Status",IF($N18="Pendente",0,IF($N18="Em andamento",0.5,IF($N18="Concluído",1,""))),"")))</f>
        <v/>
      </c>
      <c r="Q18" s="13" t="n"/>
      <c r="R18" s="7">
        <f>IF(OR($A18="",$L18="Cancelado",$L18="Retirado do Escopo",$L18="Substituído",$J18=""),"",IF(SUMIFS($J:$J,$L:$L,"&lt;&gt;Cancelado",$L:$L,"&lt;&gt;Retirado do Escopo",$L:$L,"&lt;&gt;Substituído",$J:$J,"&lt;&gt;")=0,"N/D",$J18/SUMIFS($J:$J,$L:$L,"&lt;&gt;Cancelado",$L:$L,"&lt;&gt;Retirado do Escopo",$L:$L,"&lt;&gt;Substituído",$J:$J,"&lt;&gt;")))</f>
        <v/>
      </c>
      <c r="S18" s="7">
        <f>IF(OR($A18="",$L18="Cancelado",$L18="Retirado do Escopo",$L18="Substituído",$J18=""),"",IF($Q18&lt;&gt;"",$Q18,IF(SUMIFS($R:$R,$L:$L,"&lt;&gt;Cancelado",$L:$L,"&lt;&gt;Retirado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(manual)]=""))),$R18/SUMIFS($R:$R,$L:$L,"&lt;&gt;Cancelado",$L:$L,"&lt;&gt;Retirado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8" s="7">
        <f>IF(OR($S18="",$P18=""),"",$S18*$P18)</f>
        <v/>
      </c>
      <c r="U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11" t="n"/>
      <c r="F19" s="11" t="n"/>
      <c r="G19" s="6">
        <f>IF(OR($E19="",$F19=""),"",$E19*$F19)</f>
        <v/>
      </c>
      <c r="H19" s="11" t="n"/>
      <c r="I19" s="12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 t="n"/>
      <c r="N19" s="4" t="n"/>
      <c r="O19" s="6">
        <f>IF($A19="","",SUMIFS(Execução!$D:$D,Execução!$F:$F,$A19))</f>
        <v/>
      </c>
      <c r="P19" s="7">
        <f>IF($A19="","",IF($M19="Quantitativo",IF(OR($E19="",$E19=0),"",$O19/$E19),IF($M19="Status",IF($N19="Pendente",0,IF($N19="Em andamento",0.5,IF($N19="Concluído",1,""))),"")))</f>
        <v/>
      </c>
      <c r="Q19" s="13" t="n"/>
      <c r="R19" s="7">
        <f>IF(OR($A19="",$L19="Cancelado",$L19="Retirado do Escopo",$L19="Substituído",$J19=""),"",IF(SUMIFS($J:$J,$L:$L,"&lt;&gt;Cancelado",$L:$L,"&lt;&gt;Retirado do Escopo",$L:$L,"&lt;&gt;Substituído",$J:$J,"&lt;&gt;")=0,"N/D",$J19/SUMIFS($J:$J,$L:$L,"&lt;&gt;Cancelado",$L:$L,"&lt;&gt;Retirado do Escopo",$L:$L,"&lt;&gt;Substituído",$J:$J,"&lt;&gt;")))</f>
        <v/>
      </c>
      <c r="S19" s="7">
        <f>IF(OR($A19="",$L19="Cancelado",$L19="Retirado do Escopo",$L19="Substituído",$J19=""),"",IF($Q19&lt;&gt;"",$Q19,IF(SUMIFS($R:$R,$L:$L,"&lt;&gt;Cancelado",$L:$L,"&lt;&gt;Retirado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(manual)]=""))),$R19/SUMIFS($R:$R,$L:$L,"&lt;&gt;Cancelado",$L:$L,"&lt;&gt;Retirado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9" s="7">
        <f>IF(OR($S19="",$P19=""),"",$S19*$P19)</f>
        <v/>
      </c>
      <c r="U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11" t="n"/>
      <c r="F20" s="11" t="n"/>
      <c r="G20" s="6">
        <f>IF(OR($E20="",$F20=""),"",$E20*$F20)</f>
        <v/>
      </c>
      <c r="H20" s="11" t="n"/>
      <c r="I20" s="12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 t="n"/>
      <c r="N20" s="4" t="n"/>
      <c r="O20" s="6">
        <f>IF($A20="","",SUMIFS(Execução!$D:$D,Execução!$F:$F,$A20))</f>
        <v/>
      </c>
      <c r="P20" s="7">
        <f>IF($A20="","",IF($M20="Quantitativo",IF(OR($E20="",$E20=0),"",$O20/$E20),IF($M20="Status",IF($N20="Pendente",0,IF($N20="Em andamento",0.5,IF($N20="Concluído",1,""))),"")))</f>
        <v/>
      </c>
      <c r="Q20" s="13" t="n"/>
      <c r="R20" s="7">
        <f>IF(OR($A20="",$L20="Cancelado",$L20="Retirado do Escopo",$L20="Substituído",$J20=""),"",IF(SUMIFS($J:$J,$L:$L,"&lt;&gt;Cancelado",$L:$L,"&lt;&gt;Retirado do Escopo",$L:$L,"&lt;&gt;Substituído",$J:$J,"&lt;&gt;")=0,"N/D",$J20/SUMIFS($J:$J,$L:$L,"&lt;&gt;Cancelado",$L:$L,"&lt;&gt;Retirado do Escopo",$L:$L,"&lt;&gt;Substituído",$J:$J,"&lt;&gt;")))</f>
        <v/>
      </c>
      <c r="S20" s="7">
        <f>IF(OR($A20="",$L20="Cancelado",$L20="Retirado do Escopo",$L20="Substituído",$J20=""),"",IF($Q20&lt;&gt;"",$Q20,IF(SUMIFS($R:$R,$L:$L,"&lt;&gt;Cancelado",$L:$L,"&lt;&gt;Retirado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(manual)]=""))),$R20/SUMIFS($R:$R,$L:$L,"&lt;&gt;Cancelado",$L:$L,"&lt;&gt;Retirado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0" s="7">
        <f>IF(OR($S20="",$P20=""),"",$S20*$P20)</f>
        <v/>
      </c>
      <c r="U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11" t="n"/>
      <c r="F21" s="11" t="n"/>
      <c r="G21" s="6">
        <f>IF(OR($E21="",$F21=""),"",$E21*$F21)</f>
        <v/>
      </c>
      <c r="H21" s="11" t="n"/>
      <c r="I21" s="12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 t="n"/>
      <c r="N21" s="4" t="n"/>
      <c r="O21" s="6">
        <f>IF($A21="","",SUMIFS(Execução!$D:$D,Execução!$F:$F,$A21))</f>
        <v/>
      </c>
      <c r="P21" s="7">
        <f>IF($A21="","",IF($M21="Quantitativo",IF(OR($E21="",$E21=0),"",$O21/$E21),IF($M21="Status",IF($N21="Pendente",0,IF($N21="Em andamento",0.5,IF($N21="Concluído",1,""))),"")))</f>
        <v/>
      </c>
      <c r="Q21" s="13" t="n"/>
      <c r="R21" s="7">
        <f>IF(OR($A21="",$L21="Cancelado",$L21="Retirado do Escopo",$L21="Substituído",$J21=""),"",IF(SUMIFS($J:$J,$L:$L,"&lt;&gt;Cancelado",$L:$L,"&lt;&gt;Retirado do Escopo",$L:$L,"&lt;&gt;Substituído",$J:$J,"&lt;&gt;")=0,"N/D",$J21/SUMIFS($J:$J,$L:$L,"&lt;&gt;Cancelado",$L:$L,"&lt;&gt;Retirado do Escopo",$L:$L,"&lt;&gt;Substituído",$J:$J,"&lt;&gt;")))</f>
        <v/>
      </c>
      <c r="S21" s="7">
        <f>IF(OR($A21="",$L21="Cancelado",$L21="Retirado do Escopo",$L21="Substituído",$J21=""),"",IF($Q21&lt;&gt;"",$Q21,IF(SUMIFS($R:$R,$L:$L,"&lt;&gt;Cancelado",$L:$L,"&lt;&gt;Retirado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(manual)]=""))),$R21/SUMIFS($R:$R,$L:$L,"&lt;&gt;Cancelado",$L:$L,"&lt;&gt;Retirado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1" s="7">
        <f>IF(OR($S21="",$P21=""),"",$S21*$P21)</f>
        <v/>
      </c>
      <c r="U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11" t="n"/>
      <c r="F22" s="11" t="n"/>
      <c r="G22" s="6">
        <f>IF(OR($E22="",$F22=""),"",$E22*$F22)</f>
        <v/>
      </c>
      <c r="H22" s="11" t="n"/>
      <c r="I22" s="12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 t="n"/>
      <c r="N22" s="4" t="n"/>
      <c r="O22" s="6">
        <f>IF($A22="","",SUMIFS(Execução!$D:$D,Execução!$F:$F,$A22))</f>
        <v/>
      </c>
      <c r="P22" s="7">
        <f>IF($A22="","",IF($M22="Quantitativo",IF(OR($E22="",$E22=0),"",$O22/$E22),IF($M22="Status",IF($N22="Pendente",0,IF($N22="Em andamento",0.5,IF($N22="Concluído",1,""))),"")))</f>
        <v/>
      </c>
      <c r="Q22" s="13" t="n"/>
      <c r="R22" s="7">
        <f>IF(OR($A22="",$L22="Cancelado",$L22="Retirado do Escopo",$L22="Substituído",$J22=""),"",IF(SUMIFS($J:$J,$L:$L,"&lt;&gt;Cancelado",$L:$L,"&lt;&gt;Retirado do Escopo",$L:$L,"&lt;&gt;Substituído",$J:$J,"&lt;&gt;")=0,"N/D",$J22/SUMIFS($J:$J,$L:$L,"&lt;&gt;Cancelado",$L:$L,"&lt;&gt;Retirado do Escopo",$L:$L,"&lt;&gt;Substituído",$J:$J,"&lt;&gt;")))</f>
        <v/>
      </c>
      <c r="S22" s="7">
        <f>IF(OR($A22="",$L22="Cancelado",$L22="Retirado do Escopo",$L22="Substituído",$J22=""),"",IF($Q22&lt;&gt;"",$Q22,IF(SUMIFS($R:$R,$L:$L,"&lt;&gt;Cancelado",$L:$L,"&lt;&gt;Retirado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(manual)]=""))),$R22/SUMIFS($R:$R,$L:$L,"&lt;&gt;Cancelado",$L:$L,"&lt;&gt;Retirado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2" s="7">
        <f>IF(OR($S22="",$P22=""),"",$S22*$P22)</f>
        <v/>
      </c>
      <c r="U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11" t="n"/>
      <c r="F23" s="11" t="n"/>
      <c r="G23" s="6">
        <f>IF(OR($E23="",$F23=""),"",$E23*$F23)</f>
        <v/>
      </c>
      <c r="H23" s="11" t="n"/>
      <c r="I23" s="12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 t="n"/>
      <c r="N23" s="4" t="n"/>
      <c r="O23" s="6">
        <f>IF($A23="","",SUMIFS(Execução!$D:$D,Execução!$F:$F,$A23))</f>
        <v/>
      </c>
      <c r="P23" s="7">
        <f>IF($A23="","",IF($M23="Quantitativo",IF(OR($E23="",$E23=0),"",$O23/$E23),IF($M23="Status",IF($N23="Pendente",0,IF($N23="Em andamento",0.5,IF($N23="Concluído",1,""))),"")))</f>
        <v/>
      </c>
      <c r="Q23" s="13" t="n"/>
      <c r="R23" s="7">
        <f>IF(OR($A23="",$L23="Cancelado",$L23="Retirado do Escopo",$L23="Substituído",$J23=""),"",IF(SUMIFS($J:$J,$L:$L,"&lt;&gt;Cancelado",$L:$L,"&lt;&gt;Retirado do Escopo",$L:$L,"&lt;&gt;Substituído",$J:$J,"&lt;&gt;")=0,"N/D",$J23/SUMIFS($J:$J,$L:$L,"&lt;&gt;Cancelado",$L:$L,"&lt;&gt;Retirado do Escopo",$L:$L,"&lt;&gt;Substituído",$J:$J,"&lt;&gt;")))</f>
        <v/>
      </c>
      <c r="S23" s="7">
        <f>IF(OR($A23="",$L23="Cancelado",$L23="Retirado do Escopo",$L23="Substituído",$J23=""),"",IF($Q23&lt;&gt;"",$Q23,IF(SUMIFS($R:$R,$L:$L,"&lt;&gt;Cancelado",$L:$L,"&lt;&gt;Retirado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(manual)]=""))),$R23/SUMIFS($R:$R,$L:$L,"&lt;&gt;Cancelado",$L:$L,"&lt;&gt;Retirado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3" s="7">
        <f>IF(OR($S23="",$P23=""),"",$S23*$P23)</f>
        <v/>
      </c>
      <c r="U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11" t="n"/>
      <c r="F24" s="11" t="n"/>
      <c r="G24" s="6">
        <f>IF(OR($E24="",$F24=""),"",$E24*$F24)</f>
        <v/>
      </c>
      <c r="H24" s="11" t="n"/>
      <c r="I24" s="12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 t="n"/>
      <c r="N24" s="4" t="n"/>
      <c r="O24" s="6">
        <f>IF($A24="","",SUMIFS(Execução!$D:$D,Execução!$F:$F,$A24))</f>
        <v/>
      </c>
      <c r="P24" s="7">
        <f>IF($A24="","",IF($M24="Quantitativo",IF(OR($E24="",$E24=0),"",$O24/$E24),IF($M24="Status",IF($N24="Pendente",0,IF($N24="Em andamento",0.5,IF($N24="Concluído",1,""))),"")))</f>
        <v/>
      </c>
      <c r="Q24" s="13" t="n"/>
      <c r="R24" s="7">
        <f>IF(OR($A24="",$L24="Cancelado",$L24="Retirado do Escopo",$L24="Substituído",$J24=""),"",IF(SUMIFS($J:$J,$L:$L,"&lt;&gt;Cancelado",$L:$L,"&lt;&gt;Retirado do Escopo",$L:$L,"&lt;&gt;Substituído",$J:$J,"&lt;&gt;")=0,"N/D",$J24/SUMIFS($J:$J,$L:$L,"&lt;&gt;Cancelado",$L:$L,"&lt;&gt;Retirado do Escopo",$L:$L,"&lt;&gt;Substituído",$J:$J,"&lt;&gt;")))</f>
        <v/>
      </c>
      <c r="S24" s="7">
        <f>IF(OR($A24="",$L24="Cancelado",$L24="Retirado do Escopo",$L24="Substituído",$J24=""),"",IF($Q24&lt;&gt;"",$Q24,IF(SUMIFS($R:$R,$L:$L,"&lt;&gt;Cancelado",$L:$L,"&lt;&gt;Retirado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(manual)]=""))),$R24/SUMIFS($R:$R,$L:$L,"&lt;&gt;Cancelado",$L:$L,"&lt;&gt;Retirado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4" s="7">
        <f>IF(OR($S24="",$P24=""),"",$S24*$P24)</f>
        <v/>
      </c>
      <c r="U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11" t="n"/>
      <c r="F25" s="11" t="n"/>
      <c r="G25" s="6">
        <f>IF(OR($E25="",$F25=""),"",$E25*$F25)</f>
        <v/>
      </c>
      <c r="H25" s="11" t="n"/>
      <c r="I25" s="12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 t="n"/>
      <c r="N25" s="4" t="n"/>
      <c r="O25" s="6">
        <f>IF($A25="","",SUMIFS(Execução!$D:$D,Execução!$F:$F,$A25))</f>
        <v/>
      </c>
      <c r="P25" s="7">
        <f>IF($A25="","",IF($M25="Quantitativo",IF(OR($E25="",$E25=0),"",$O25/$E25),IF($M25="Status",IF($N25="Pendente",0,IF($N25="Em andamento",0.5,IF($N25="Concluído",1,""))),"")))</f>
        <v/>
      </c>
      <c r="Q25" s="13" t="n"/>
      <c r="R25" s="7">
        <f>IF(OR($A25="",$L25="Cancelado",$L25="Retirado do Escopo",$L25="Substituído",$J25=""),"",IF(SUMIFS($J:$J,$L:$L,"&lt;&gt;Cancelado",$L:$L,"&lt;&gt;Retirado do Escopo",$L:$L,"&lt;&gt;Substituído",$J:$J,"&lt;&gt;")=0,"N/D",$J25/SUMIFS($J:$J,$L:$L,"&lt;&gt;Cancelado",$L:$L,"&lt;&gt;Retirado do Escopo",$L:$L,"&lt;&gt;Substituído",$J:$J,"&lt;&gt;")))</f>
        <v/>
      </c>
      <c r="S25" s="7">
        <f>IF(OR($A25="",$L25="Cancelado",$L25="Retirado do Escopo",$L25="Substituído",$J25=""),"",IF($Q25&lt;&gt;"",$Q25,IF(SUMIFS($R:$R,$L:$L,"&lt;&gt;Cancelado",$L:$L,"&lt;&gt;Retirado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(manual)]=""))),$R25/SUMIFS($R:$R,$L:$L,"&lt;&gt;Cancelado",$L:$L,"&lt;&gt;Retirado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5" s="7">
        <f>IF(OR($S25="",$P25=""),"",$S25*$P25)</f>
        <v/>
      </c>
      <c r="U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11" t="n"/>
      <c r="F26" s="11" t="n"/>
      <c r="G26" s="6">
        <f>IF(OR($E26="",$F26=""),"",$E26*$F26)</f>
        <v/>
      </c>
      <c r="H26" s="11" t="n"/>
      <c r="I26" s="12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 t="n"/>
      <c r="N26" s="4" t="n"/>
      <c r="O26" s="6">
        <f>IF($A26="","",SUMIFS(Execução!$D:$D,Execução!$F:$F,$A26))</f>
        <v/>
      </c>
      <c r="P26" s="7">
        <f>IF($A26="","",IF($M26="Quantitativo",IF(OR($E26="",$E26=0),"",$O26/$E26),IF($M26="Status",IF($N26="Pendente",0,IF($N26="Em andamento",0.5,IF($N26="Concluído",1,""))),"")))</f>
        <v/>
      </c>
      <c r="Q26" s="13" t="n"/>
      <c r="R26" s="7">
        <f>IF(OR($A26="",$L26="Cancelado",$L26="Retirado do Escopo",$L26="Substituído",$J26=""),"",IF(SUMIFS($J:$J,$L:$L,"&lt;&gt;Cancelado",$L:$L,"&lt;&gt;Retirado do Escopo",$L:$L,"&lt;&gt;Substituído",$J:$J,"&lt;&gt;")=0,"N/D",$J26/SUMIFS($J:$J,$L:$L,"&lt;&gt;Cancelado",$L:$L,"&lt;&gt;Retirado do Escopo",$L:$L,"&lt;&gt;Substituído",$J:$J,"&lt;&gt;")))</f>
        <v/>
      </c>
      <c r="S26" s="7">
        <f>IF(OR($A26="",$L26="Cancelado",$L26="Retirado do Escopo",$L26="Substituído",$J26=""),"",IF($Q26&lt;&gt;"",$Q26,IF(SUMIFS($R:$R,$L:$L,"&lt;&gt;Cancelado",$L:$L,"&lt;&gt;Retirado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(manual)]=""))),$R26/SUMIFS($R:$R,$L:$L,"&lt;&gt;Cancelado",$L:$L,"&lt;&gt;Retirado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6" s="7">
        <f>IF(OR($S26="",$P26=""),"",$S26*$P26)</f>
        <v/>
      </c>
      <c r="U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11" t="n"/>
      <c r="F27" s="11" t="n"/>
      <c r="G27" s="6">
        <f>IF(OR($E27="",$F27=""),"",$E27*$F27)</f>
        <v/>
      </c>
      <c r="H27" s="11" t="n"/>
      <c r="I27" s="12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 t="n"/>
      <c r="N27" s="4" t="n"/>
      <c r="O27" s="6">
        <f>IF($A27="","",SUMIFS(Execução!$D:$D,Execução!$F:$F,$A27))</f>
        <v/>
      </c>
      <c r="P27" s="7">
        <f>IF($A27="","",IF($M27="Quantitativo",IF(OR($E27="",$E27=0),"",$O27/$E27),IF($M27="Status",IF($N27="Pendente",0,IF($N27="Em andamento",0.5,IF($N27="Concluído",1,""))),"")))</f>
        <v/>
      </c>
      <c r="Q27" s="13" t="n"/>
      <c r="R27" s="7">
        <f>IF(OR($A27="",$L27="Cancelado",$L27="Retirado do Escopo",$L27="Substituído",$J27=""),"",IF(SUMIFS($J:$J,$L:$L,"&lt;&gt;Cancelado",$L:$L,"&lt;&gt;Retirado do Escopo",$L:$L,"&lt;&gt;Substituído",$J:$J,"&lt;&gt;")=0,"N/D",$J27/SUMIFS($J:$J,$L:$L,"&lt;&gt;Cancelado",$L:$L,"&lt;&gt;Retirado do Escopo",$L:$L,"&lt;&gt;Substituído",$J:$J,"&lt;&gt;")))</f>
        <v/>
      </c>
      <c r="S27" s="7">
        <f>IF(OR($A27="",$L27="Cancelado",$L27="Retirado do Escopo",$L27="Substituído",$J27=""),"",IF($Q27&lt;&gt;"",$Q27,IF(SUMIFS($R:$R,$L:$L,"&lt;&gt;Cancelado",$L:$L,"&lt;&gt;Retirado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(manual)]=""))),$R27/SUMIFS($R:$R,$L:$L,"&lt;&gt;Cancelado",$L:$L,"&lt;&gt;Retirado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7" s="7">
        <f>IF(OR($S27="",$P27=""),"",$S27*$P27)</f>
        <v/>
      </c>
      <c r="U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11" t="n"/>
      <c r="F28" s="11" t="n"/>
      <c r="G28" s="6">
        <f>IF(OR($E28="",$F28=""),"",$E28*$F28)</f>
        <v/>
      </c>
      <c r="H28" s="11" t="n"/>
      <c r="I28" s="12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 t="n"/>
      <c r="N28" s="4" t="n"/>
      <c r="O28" s="6">
        <f>IF($A28="","",SUMIFS(Execução!$D:$D,Execução!$F:$F,$A28))</f>
        <v/>
      </c>
      <c r="P28" s="7">
        <f>IF($A28="","",IF($M28="Quantitativo",IF(OR($E28="",$E28=0),"",$O28/$E28),IF($M28="Status",IF($N28="Pendente",0,IF($N28="Em andamento",0.5,IF($N28="Concluído",1,""))),"")))</f>
        <v/>
      </c>
      <c r="Q28" s="13" t="n"/>
      <c r="R28" s="7">
        <f>IF(OR($A28="",$L28="Cancelado",$L28="Retirado do Escopo",$L28="Substituído",$J28=""),"",IF(SUMIFS($J:$J,$L:$L,"&lt;&gt;Cancelado",$L:$L,"&lt;&gt;Retirado do Escopo",$L:$L,"&lt;&gt;Substituído",$J:$J,"&lt;&gt;")=0,"N/D",$J28/SUMIFS($J:$J,$L:$L,"&lt;&gt;Cancelado",$L:$L,"&lt;&gt;Retirado do Escopo",$L:$L,"&lt;&gt;Substituído",$J:$J,"&lt;&gt;")))</f>
        <v/>
      </c>
      <c r="S28" s="7">
        <f>IF(OR($A28="",$L28="Cancelado",$L28="Retirado do Escopo",$L28="Substituído",$J28=""),"",IF($Q28&lt;&gt;"",$Q28,IF(SUMIFS($R:$R,$L:$L,"&lt;&gt;Cancelado",$L:$L,"&lt;&gt;Retirado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(manual)]=""))),$R28/SUMIFS($R:$R,$L:$L,"&lt;&gt;Cancelado",$L:$L,"&lt;&gt;Retirado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8" s="7">
        <f>IF(OR($S28="",$P28=""),"",$S28*$P28)</f>
        <v/>
      </c>
      <c r="U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11" t="n"/>
      <c r="F29" s="11" t="n"/>
      <c r="G29" s="6">
        <f>IF(OR($E29="",$F29=""),"",$E29*$F29)</f>
        <v/>
      </c>
      <c r="H29" s="11" t="n"/>
      <c r="I29" s="12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 t="n"/>
      <c r="N29" s="4" t="n"/>
      <c r="O29" s="6">
        <f>IF($A29="","",SUMIFS(Execução!$D:$D,Execução!$F:$F,$A29))</f>
        <v/>
      </c>
      <c r="P29" s="7">
        <f>IF($A29="","",IF($M29="Quantitativo",IF(OR($E29="",$E29=0),"",$O29/$E29),IF($M29="Status",IF($N29="Pendente",0,IF($N29="Em andamento",0.5,IF($N29="Concluído",1,""))),"")))</f>
        <v/>
      </c>
      <c r="Q29" s="13" t="n"/>
      <c r="R29" s="7">
        <f>IF(OR($A29="",$L29="Cancelado",$L29="Retirado do Escopo",$L29="Substituído",$J29=""),"",IF(SUMIFS($J:$J,$L:$L,"&lt;&gt;Cancelado",$L:$L,"&lt;&gt;Retirado do Escopo",$L:$L,"&lt;&gt;Substituído",$J:$J,"&lt;&gt;")=0,"N/D",$J29/SUMIFS($J:$J,$L:$L,"&lt;&gt;Cancelado",$L:$L,"&lt;&gt;Retirado do Escopo",$L:$L,"&lt;&gt;Substituído",$J:$J,"&lt;&gt;")))</f>
        <v/>
      </c>
      <c r="S29" s="7">
        <f>IF(OR($A29="",$L29="Cancelado",$L29="Retirado do Escopo",$L29="Substituído",$J29=""),"",IF($Q29&lt;&gt;"",$Q29,IF(SUMIFS($R:$R,$L:$L,"&lt;&gt;Cancelado",$L:$L,"&lt;&gt;Retirado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(manual)]=""))),$R29/SUMIFS($R:$R,$L:$L,"&lt;&gt;Cancelado",$L:$L,"&lt;&gt;Retirado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9" s="7">
        <f>IF(OR($S29="",$P29=""),"",$S29*$P29)</f>
        <v/>
      </c>
      <c r="U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11" t="n"/>
      <c r="F30" s="11" t="n"/>
      <c r="G30" s="6">
        <f>IF(OR($E30="",$F30=""),"",$E30*$F30)</f>
        <v/>
      </c>
      <c r="H30" s="11" t="n"/>
      <c r="I30" s="12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 t="n"/>
      <c r="N30" s="4" t="n"/>
      <c r="O30" s="6">
        <f>IF($A30="","",SUMIFS(Execução!$D:$D,Execução!$F:$F,$A30))</f>
        <v/>
      </c>
      <c r="P30" s="7">
        <f>IF($A30="","",IF($M30="Quantitativo",IF(OR($E30="",$E30=0),"",$O30/$E30),IF($M30="Status",IF($N30="Pendente",0,IF($N30="Em andamento",0.5,IF($N30="Concluído",1,""))),"")))</f>
        <v/>
      </c>
      <c r="Q30" s="13" t="n"/>
      <c r="R30" s="7">
        <f>IF(OR($A30="",$L30="Cancelado",$L30="Retirado do Escopo",$L30="Substituído",$J30=""),"",IF(SUMIFS($J:$J,$L:$L,"&lt;&gt;Cancelado",$L:$L,"&lt;&gt;Retirado do Escopo",$L:$L,"&lt;&gt;Substituído",$J:$J,"&lt;&gt;")=0,"N/D",$J30/SUMIFS($J:$J,$L:$L,"&lt;&gt;Cancelado",$L:$L,"&lt;&gt;Retirado do Escopo",$L:$L,"&lt;&gt;Substituído",$J:$J,"&lt;&gt;")))</f>
        <v/>
      </c>
      <c r="S30" s="7">
        <f>IF(OR($A30="",$L30="Cancelado",$L30="Retirado do Escopo",$L30="Substituído",$J30=""),"",IF($Q30&lt;&gt;"",$Q30,IF(SUMIFS($R:$R,$L:$L,"&lt;&gt;Cancelado",$L:$L,"&lt;&gt;Retirado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(manual)]=""))),$R30/SUMIFS($R:$R,$L:$L,"&lt;&gt;Cancelado",$L:$L,"&lt;&gt;Retirado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30" s="7">
        <f>IF(OR($S30="",$P30=""),"",$S30*$P30)</f>
        <v/>
      </c>
      <c r="U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11" t="n"/>
      <c r="F31" s="11" t="n"/>
      <c r="G31" s="6">
        <f>IF(OR($E31="",$F31=""),"",$E31*$F31)</f>
        <v/>
      </c>
      <c r="H31" s="11" t="n"/>
      <c r="I31" s="12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 t="n"/>
      <c r="N31" s="4" t="n"/>
      <c r="O31" s="6">
        <f>IF($A31="","",SUMIFS(Execução!$D:$D,Execução!$F:$F,$A31))</f>
        <v/>
      </c>
      <c r="P31" s="7">
        <f>IF($A31="","",IF($M31="Quantitativo",IF(OR($E31="",$E31=0),"",$O31/$E31),IF($M31="Status",IF($N31="Pendente",0,IF($N31="Em andamento",0.5,IF($N31="Concluído",1,""))),"")))</f>
        <v/>
      </c>
      <c r="Q31" s="13" t="n"/>
      <c r="R31" s="7">
        <f>IF(OR($A31="",$L31="Cancelado",$L31="Retirado do Escopo",$L31="Substituído",$J31=""),"",IF(SUMIFS($J:$J,$L:$L,"&lt;&gt;Cancelado",$L:$L,"&lt;&gt;Retirado do Escopo",$L:$L,"&lt;&gt;Substituído",$J:$J,"&lt;&gt;")=0,"N/D",$J31/SUMIFS($J:$J,$L:$L,"&lt;&gt;Cancelado",$L:$L,"&lt;&gt;Retirado do Escopo",$L:$L,"&lt;&gt;Substituído",$J:$J,"&lt;&gt;")))</f>
        <v/>
      </c>
      <c r="S31" s="7">
        <f>IF(OR($A31="",$L31="Cancelado",$L31="Retirado do Escopo",$L31="Substituído",$J31=""),"",IF($Q31&lt;&gt;"",$Q31,IF(SUMIFS($R:$R,$L:$L,"&lt;&gt;Cancelado",$L:$L,"&lt;&gt;Retirado do Escopo",$L:$L,"&lt;&gt;Substituído",$J:$J,"&lt;&gt;",$Q:$Q,"")=0,IF(SUMPRODUCT(ISNUMBER(TabelaServicos[Valor Previsto])*(TabelaServicos[Status]&lt;&gt;"Cancelado")*(TabelaServicos[Status]&lt;&gt;"Retirado do Escopo")*(TabelaServicos[Status]&lt;&gt;"Substituído")*(TabelaServicos[Peso Ajustado (manual)]=""))=0,"N/D",(1-SUMIFS($Q:$Q,$L:$L,"&lt;&gt;Cancelado",$L:$L,"&lt;&gt;Retirado do Escopo",$L:$L,"&lt;&gt;Substituído",$J:$J,"&lt;&gt;",$Q:$Q,"&lt;&gt;"))/SUMPRODUCT(ISNUMBER(TabelaServicos[Valor Previsto])*(TabelaServicos[Status]&lt;&gt;"Cancelado")*(TabelaServicos[Status]&lt;&gt;"Retirado do Escopo")*(TabelaServicos[Status]&lt;&gt;"Substituído")*(TabelaServicos[Peso Ajustado (manual)]=""))),$R31/SUMIFS($R:$R,$L:$L,"&lt;&gt;Cancelado",$L:$L,"&lt;&gt;Retirado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31" s="7">
        <f>IF(OR($S31="",$P31=""),"",$S31*$P31)</f>
        <v/>
      </c>
      <c r="U31" s="4">
        <f>IF($C31="","",INDEX(Subetapas!$A:$A,MATCH($C31,Subetapas!$B:$B,0)))</f>
        <v/>
      </c>
    </row>
  </sheetData>
  <dataValidations count="8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B2:B31" showDropDown="0" showInputMessage="0" showErrorMessage="1" allowBlank="1" errorTitle="Descrição duplicado" error="Já existe um registro com este mesmo descrição. Use um valor diferente para evitar vínculos ambíguos entre abas." type="custom">
      <formula1>COUNTIF(Lista_Servicos,B2)=1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M2:M31" showDropDown="0" showInputMessage="0" showErrorMessage="1" allowBlank="1" errorTitle="Método inválido" error="Selecione um dos métodos oficiais: Quantitativo, Status." type="list">
      <formula1>"Quantitativo,Status"</formula1>
    </dataValidation>
    <dataValidation sqref="N2:N31" showDropDown="0" showInputMessage="0" showErrorMessage="1" allowBlank="1" errorTitle="Status de Execução inválido" error="Selecione um dos status oficiais: Pendente, Em andamento, Concluído." type="list">
      <formula1>"Pendente,Em andamento,Concluído"</formula1>
    </dataValidation>
    <dataValidation sqref="Q2:Q31" showDropDown="0" showInputMessage="0" showErrorMessage="1" allowBlank="1" errorTitle="Peso inválido" error="Informe um percentual entre 0% e 100%." type="decimal" operator="between">
      <formula1>0</formula1>
      <formula2>1</formula2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6" customWidth="1" min="3" max="3"/>
    <col width="20" customWidth="1" min="4" max="4"/>
    <col width="22" customWidth="1" min="5" max="5"/>
    <col hidden="1" width="18" customWidth="1" min="6" max="6"/>
  </cols>
  <sheetData>
    <row r="1" ht="30" customHeight="1">
      <c r="A1" s="9" t="inlineStr">
        <is>
          <t>ID (técnico)</t>
        </is>
      </c>
      <c r="B1" s="9" t="inlineStr">
        <is>
          <t>Serviço</t>
        </is>
      </c>
      <c r="C1" s="9" t="inlineStr">
        <is>
          <t>Data da Medição</t>
        </is>
      </c>
      <c r="D1" s="9" t="inlineStr">
        <is>
          <t>Quantidade Executada</t>
        </is>
      </c>
      <c r="E1" s="9" t="inlineStr">
        <is>
          <t>Responsável</t>
        </is>
      </c>
      <c r="F1" s="9" t="inlineStr">
        <is>
          <t>ID_Servico (técnico)</t>
        </is>
      </c>
    </row>
    <row r="2">
      <c r="A2" s="4">
        <f>IF($B2="","","EXE-"&amp;TEXT(ROW()-1,"0000"))</f>
        <v/>
      </c>
      <c r="B2" s="4" t="n"/>
      <c r="C2" s="5" t="n"/>
      <c r="D2" s="11" t="n"/>
      <c r="E2" s="4" t="n"/>
      <c r="F2" s="4">
        <f>IF($B2="","",INDEX(Serviços!$A:$A,MATCH($B2,Serviços!$B:$B,0)))</f>
        <v/>
      </c>
    </row>
    <row r="3">
      <c r="A3" s="4">
        <f>IF($B3="","","EXE-"&amp;TEXT(ROW()-1,"0000"))</f>
        <v/>
      </c>
      <c r="B3" s="4" t="n"/>
      <c r="C3" s="5" t="n"/>
      <c r="D3" s="11" t="n"/>
      <c r="E3" s="4" t="n"/>
      <c r="F3" s="4">
        <f>IF($B3="","",INDEX(Serviços!$A:$A,MATCH($B3,Serviços!$B:$B,0)))</f>
        <v/>
      </c>
    </row>
    <row r="4">
      <c r="A4" s="4">
        <f>IF($B4="","","EXE-"&amp;TEXT(ROW()-1,"0000"))</f>
        <v/>
      </c>
      <c r="B4" s="4" t="n"/>
      <c r="C4" s="5" t="n"/>
      <c r="D4" s="11" t="n"/>
      <c r="E4" s="4" t="n"/>
      <c r="F4" s="4">
        <f>IF($B4="","",INDEX(Serviços!$A:$A,MATCH($B4,Serviços!$B:$B,0)))</f>
        <v/>
      </c>
    </row>
    <row r="5">
      <c r="A5" s="4">
        <f>IF($B5="","","EXE-"&amp;TEXT(ROW()-1,"0000"))</f>
        <v/>
      </c>
      <c r="B5" s="4" t="n"/>
      <c r="C5" s="5" t="n"/>
      <c r="D5" s="11" t="n"/>
      <c r="E5" s="4" t="n"/>
      <c r="F5" s="4">
        <f>IF($B5="","",INDEX(Serviços!$A:$A,MATCH($B5,Serviços!$B:$B,0)))</f>
        <v/>
      </c>
    </row>
    <row r="6">
      <c r="A6" s="4">
        <f>IF($B6="","","EXE-"&amp;TEXT(ROW()-1,"0000"))</f>
        <v/>
      </c>
      <c r="B6" s="4" t="n"/>
      <c r="C6" s="5" t="n"/>
      <c r="D6" s="11" t="n"/>
      <c r="E6" s="4" t="n"/>
      <c r="F6" s="4">
        <f>IF($B6="","",INDEX(Serviços!$A:$A,MATCH($B6,Serviços!$B:$B,0)))</f>
        <v/>
      </c>
    </row>
    <row r="7">
      <c r="A7" s="4">
        <f>IF($B7="","","EXE-"&amp;TEXT(ROW()-1,"0000"))</f>
        <v/>
      </c>
      <c r="B7" s="4" t="n"/>
      <c r="C7" s="5" t="n"/>
      <c r="D7" s="11" t="n"/>
      <c r="E7" s="4" t="n"/>
      <c r="F7" s="4">
        <f>IF($B7="","",INDEX(Serviços!$A:$A,MATCH($B7,Serviços!$B:$B,0)))</f>
        <v/>
      </c>
    </row>
    <row r="8">
      <c r="A8" s="4">
        <f>IF($B8="","","EXE-"&amp;TEXT(ROW()-1,"0000"))</f>
        <v/>
      </c>
      <c r="B8" s="4" t="n"/>
      <c r="C8" s="5" t="n"/>
      <c r="D8" s="11" t="n"/>
      <c r="E8" s="4" t="n"/>
      <c r="F8" s="4">
        <f>IF($B8="","",INDEX(Serviços!$A:$A,MATCH($B8,Serviços!$B:$B,0)))</f>
        <v/>
      </c>
    </row>
    <row r="9">
      <c r="A9" s="4">
        <f>IF($B9="","","EXE-"&amp;TEXT(ROW()-1,"0000"))</f>
        <v/>
      </c>
      <c r="B9" s="4" t="n"/>
      <c r="C9" s="5" t="n"/>
      <c r="D9" s="11" t="n"/>
      <c r="E9" s="4" t="n"/>
      <c r="F9" s="4">
        <f>IF($B9="","",INDEX(Serviços!$A:$A,MATCH($B9,Serviços!$B:$B,0)))</f>
        <v/>
      </c>
    </row>
    <row r="10">
      <c r="A10" s="4">
        <f>IF($B10="","","EXE-"&amp;TEXT(ROW()-1,"0000"))</f>
        <v/>
      </c>
      <c r="B10" s="4" t="n"/>
      <c r="C10" s="5" t="n"/>
      <c r="D10" s="11" t="n"/>
      <c r="E10" s="4" t="n"/>
      <c r="F10" s="4">
        <f>IF($B10="","",INDEX(Serviços!$A:$A,MATCH($B10,Serviços!$B:$B,0)))</f>
        <v/>
      </c>
    </row>
    <row r="11">
      <c r="A11" s="4">
        <f>IF($B11="","","EXE-"&amp;TEXT(ROW()-1,"0000"))</f>
        <v/>
      </c>
      <c r="B11" s="4" t="n"/>
      <c r="C11" s="5" t="n"/>
      <c r="D11" s="11" t="n"/>
      <c r="E11" s="4" t="n"/>
      <c r="F11" s="4">
        <f>IF($B11="","",INDEX(Serviços!$A:$A,MATCH($B11,Serviços!$B:$B,0)))</f>
        <v/>
      </c>
    </row>
    <row r="12">
      <c r="A12" s="4">
        <f>IF($B12="","","EXE-"&amp;TEXT(ROW()-1,"0000"))</f>
        <v/>
      </c>
      <c r="B12" s="4" t="n"/>
      <c r="C12" s="5" t="n"/>
      <c r="D12" s="11" t="n"/>
      <c r="E12" s="4" t="n"/>
      <c r="F12" s="4">
        <f>IF($B12="","",INDEX(Serviços!$A:$A,MATCH($B12,Serviços!$B:$B,0)))</f>
        <v/>
      </c>
    </row>
    <row r="13">
      <c r="A13" s="4">
        <f>IF($B13="","","EXE-"&amp;TEXT(ROW()-1,"0000"))</f>
        <v/>
      </c>
      <c r="B13" s="4" t="n"/>
      <c r="C13" s="5" t="n"/>
      <c r="D13" s="11" t="n"/>
      <c r="E13" s="4" t="n"/>
      <c r="F13" s="4">
        <f>IF($B13="","",INDEX(Serviços!$A:$A,MATCH($B13,Serviços!$B:$B,0)))</f>
        <v/>
      </c>
    </row>
    <row r="14">
      <c r="A14" s="4">
        <f>IF($B14="","","EXE-"&amp;TEXT(ROW()-1,"0000"))</f>
        <v/>
      </c>
      <c r="B14" s="4" t="n"/>
      <c r="C14" s="5" t="n"/>
      <c r="D14" s="11" t="n"/>
      <c r="E14" s="4" t="n"/>
      <c r="F14" s="4">
        <f>IF($B14="","",INDEX(Serviços!$A:$A,MATCH($B14,Serviços!$B:$B,0)))</f>
        <v/>
      </c>
    </row>
    <row r="15">
      <c r="A15" s="4">
        <f>IF($B15="","","EXE-"&amp;TEXT(ROW()-1,"0000"))</f>
        <v/>
      </c>
      <c r="B15" s="4" t="n"/>
      <c r="C15" s="5" t="n"/>
      <c r="D15" s="11" t="n"/>
      <c r="E15" s="4" t="n"/>
      <c r="F15" s="4">
        <f>IF($B15="","",INDEX(Serviços!$A:$A,MATCH($B15,Serviços!$B:$B,0)))</f>
        <v/>
      </c>
    </row>
    <row r="16">
      <c r="A16" s="4">
        <f>IF($B16="","","EXE-"&amp;TEXT(ROW()-1,"0000"))</f>
        <v/>
      </c>
      <c r="B16" s="4" t="n"/>
      <c r="C16" s="5" t="n"/>
      <c r="D16" s="11" t="n"/>
      <c r="E16" s="4" t="n"/>
      <c r="F16" s="4">
        <f>IF($B16="","",INDEX(Serviços!$A:$A,MATCH($B16,Serviços!$B:$B,0)))</f>
        <v/>
      </c>
    </row>
    <row r="17">
      <c r="A17" s="4">
        <f>IF($B17="","","EXE-"&amp;TEXT(ROW()-1,"0000"))</f>
        <v/>
      </c>
      <c r="B17" s="4" t="n"/>
      <c r="C17" s="5" t="n"/>
      <c r="D17" s="11" t="n"/>
      <c r="E17" s="4" t="n"/>
      <c r="F17" s="4">
        <f>IF($B17="","",INDEX(Serviços!$A:$A,MATCH($B17,Serviços!$B:$B,0)))</f>
        <v/>
      </c>
    </row>
    <row r="18">
      <c r="A18" s="4">
        <f>IF($B18="","","EXE-"&amp;TEXT(ROW()-1,"0000"))</f>
        <v/>
      </c>
      <c r="B18" s="4" t="n"/>
      <c r="C18" s="5" t="n"/>
      <c r="D18" s="11" t="n"/>
      <c r="E18" s="4" t="n"/>
      <c r="F18" s="4">
        <f>IF($B18="","",INDEX(Serviços!$A:$A,MATCH($B18,Serviços!$B:$B,0)))</f>
        <v/>
      </c>
    </row>
    <row r="19">
      <c r="A19" s="4">
        <f>IF($B19="","","EXE-"&amp;TEXT(ROW()-1,"0000"))</f>
        <v/>
      </c>
      <c r="B19" s="4" t="n"/>
      <c r="C19" s="5" t="n"/>
      <c r="D19" s="11" t="n"/>
      <c r="E19" s="4" t="n"/>
      <c r="F19" s="4">
        <f>IF($B19="","",INDEX(Serviços!$A:$A,MATCH($B19,Serviços!$B:$B,0)))</f>
        <v/>
      </c>
    </row>
    <row r="20">
      <c r="A20" s="4">
        <f>IF($B20="","","EXE-"&amp;TEXT(ROW()-1,"0000"))</f>
        <v/>
      </c>
      <c r="B20" s="4" t="n"/>
      <c r="C20" s="5" t="n"/>
      <c r="D20" s="11" t="n"/>
      <c r="E20" s="4" t="n"/>
      <c r="F20" s="4">
        <f>IF($B20="","",INDEX(Serviços!$A:$A,MATCH($B20,Serviços!$B:$B,0)))</f>
        <v/>
      </c>
    </row>
    <row r="21">
      <c r="A21" s="4">
        <f>IF($B21="","","EXE-"&amp;TEXT(ROW()-1,"0000"))</f>
        <v/>
      </c>
      <c r="B21" s="4" t="n"/>
      <c r="C21" s="5" t="n"/>
      <c r="D21" s="11" t="n"/>
      <c r="E21" s="4" t="n"/>
      <c r="F21" s="4">
        <f>IF($B21="","",INDEX(Serviços!$A:$A,MATCH($B21,Serviços!$B:$B,0)))</f>
        <v/>
      </c>
    </row>
    <row r="22">
      <c r="A22" s="4">
        <f>IF($B22="","","EXE-"&amp;TEXT(ROW()-1,"0000"))</f>
        <v/>
      </c>
      <c r="B22" s="4" t="n"/>
      <c r="C22" s="5" t="n"/>
      <c r="D22" s="11" t="n"/>
      <c r="E22" s="4" t="n"/>
      <c r="F22" s="4">
        <f>IF($B22="","",INDEX(Serviços!$A:$A,MATCH($B22,Serviços!$B:$B,0)))</f>
        <v/>
      </c>
    </row>
    <row r="23">
      <c r="A23" s="4">
        <f>IF($B23="","","EXE-"&amp;TEXT(ROW()-1,"0000"))</f>
        <v/>
      </c>
      <c r="B23" s="4" t="n"/>
      <c r="C23" s="5" t="n"/>
      <c r="D23" s="11" t="n"/>
      <c r="E23" s="4" t="n"/>
      <c r="F23" s="4">
        <f>IF($B23="","",INDEX(Serviços!$A:$A,MATCH($B23,Serviços!$B:$B,0)))</f>
        <v/>
      </c>
    </row>
    <row r="24">
      <c r="A24" s="4">
        <f>IF($B24="","","EXE-"&amp;TEXT(ROW()-1,"0000"))</f>
        <v/>
      </c>
      <c r="B24" s="4" t="n"/>
      <c r="C24" s="5" t="n"/>
      <c r="D24" s="11" t="n"/>
      <c r="E24" s="4" t="n"/>
      <c r="F24" s="4">
        <f>IF($B24="","",INDEX(Serviços!$A:$A,MATCH($B24,Serviços!$B:$B,0)))</f>
        <v/>
      </c>
    </row>
    <row r="25">
      <c r="A25" s="4">
        <f>IF($B25="","","EXE-"&amp;TEXT(ROW()-1,"0000"))</f>
        <v/>
      </c>
      <c r="B25" s="4" t="n"/>
      <c r="C25" s="5" t="n"/>
      <c r="D25" s="11" t="n"/>
      <c r="E25" s="4" t="n"/>
      <c r="F25" s="4">
        <f>IF($B25="","",INDEX(Serviços!$A:$A,MATCH($B25,Serviços!$B:$B,0)))</f>
        <v/>
      </c>
    </row>
    <row r="26">
      <c r="A26" s="4">
        <f>IF($B26="","","EXE-"&amp;TEXT(ROW()-1,"0000"))</f>
        <v/>
      </c>
      <c r="B26" s="4" t="n"/>
      <c r="C26" s="5" t="n"/>
      <c r="D26" s="11" t="n"/>
      <c r="E26" s="4" t="n"/>
      <c r="F26" s="4">
        <f>IF($B26="","",INDEX(Serviços!$A:$A,MATCH($B26,Serviços!$B:$B,0)))</f>
        <v/>
      </c>
    </row>
    <row r="27">
      <c r="A27" s="4">
        <f>IF($B27="","","EXE-"&amp;TEXT(ROW()-1,"0000"))</f>
        <v/>
      </c>
      <c r="B27" s="4" t="n"/>
      <c r="C27" s="5" t="n"/>
      <c r="D27" s="11" t="n"/>
      <c r="E27" s="4" t="n"/>
      <c r="F27" s="4">
        <f>IF($B27="","",INDEX(Serviços!$A:$A,MATCH($B27,Serviços!$B:$B,0)))</f>
        <v/>
      </c>
    </row>
    <row r="28">
      <c r="A28" s="4">
        <f>IF($B28="","","EXE-"&amp;TEXT(ROW()-1,"0000"))</f>
        <v/>
      </c>
      <c r="B28" s="4" t="n"/>
      <c r="C28" s="5" t="n"/>
      <c r="D28" s="11" t="n"/>
      <c r="E28" s="4" t="n"/>
      <c r="F28" s="4">
        <f>IF($B28="","",INDEX(Serviços!$A:$A,MATCH($B28,Serviços!$B:$B,0)))</f>
        <v/>
      </c>
    </row>
    <row r="29">
      <c r="A29" s="4">
        <f>IF($B29="","","EXE-"&amp;TEXT(ROW()-1,"0000"))</f>
        <v/>
      </c>
      <c r="B29" s="4" t="n"/>
      <c r="C29" s="5" t="n"/>
      <c r="D29" s="11" t="n"/>
      <c r="E29" s="4" t="n"/>
      <c r="F29" s="4">
        <f>IF($B29="","",INDEX(Serviços!$A:$A,MATCH($B29,Serviços!$B:$B,0)))</f>
        <v/>
      </c>
    </row>
    <row r="30">
      <c r="A30" s="4">
        <f>IF($B30="","","EXE-"&amp;TEXT(ROW()-1,"0000"))</f>
        <v/>
      </c>
      <c r="B30" s="4" t="n"/>
      <c r="C30" s="5" t="n"/>
      <c r="D30" s="11" t="n"/>
      <c r="E30" s="4" t="n"/>
      <c r="F30" s="4">
        <f>IF($B30="","",INDEX(Serviços!$A:$A,MATCH($B30,Serviços!$B:$B,0)))</f>
        <v/>
      </c>
    </row>
    <row r="31">
      <c r="A31" s="4">
        <f>IF($B31="","","EXE-"&amp;TEXT(ROW()-1,"0000"))</f>
        <v/>
      </c>
      <c r="B31" s="4" t="n"/>
      <c r="C31" s="5" t="n"/>
      <c r="D31" s="11" t="n"/>
      <c r="E31" s="4" t="n"/>
      <c r="F31" s="4">
        <f>IF($B31="","",INDEX(Serviços!$A:$A,MATCH($B31,Serviços!$B:$B,0)))</f>
        <v/>
      </c>
    </row>
  </sheetData>
  <dataValidations count="2">
    <dataValidation sqref="B2:B31" showDropDown="0" showInputMessage="0" showErrorMessage="1" allowBlank="1" errorTitle="Serviço inválido" error="Selecione um Serviço já cadastrado na aba Serviços." type="list">
      <formula1>Lista_Servicos</formula1>
    </dataValidation>
    <dataValidation sqref="D2:D31" showDropDown="0" showInputMessage="0" showErrorMessage="1" allowBlank="1" errorTitle="Quantidade inválida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0" customWidth="1" min="2" max="2"/>
    <col width="14" customWidth="1" min="3" max="3"/>
    <col width="34" customWidth="1" min="4" max="4"/>
    <col width="16" customWidth="1" min="5" max="5"/>
    <col width="2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30" customWidth="1" min="12" max="12"/>
    <col hidden="1" width="16" customWidth="1" min="13" max="13"/>
  </cols>
  <sheetData>
    <row r="1" ht="30" customHeight="1">
      <c r="A1" s="9" t="inlineStr">
        <is>
          <t>ID (técnico)</t>
        </is>
      </c>
      <c r="B1" s="9" t="inlineStr">
        <is>
          <t>Tipo</t>
        </is>
      </c>
      <c r="C1" s="9" t="inlineStr">
        <is>
          <t>Data</t>
        </is>
      </c>
      <c r="D1" s="9" t="inlineStr">
        <is>
          <t>Descrição</t>
        </is>
      </c>
      <c r="E1" s="9" t="inlineStr">
        <is>
          <t>Valor</t>
        </is>
      </c>
      <c r="F1" s="9" t="inlineStr">
        <is>
          <t>Entrada/Saída</t>
        </is>
      </c>
      <c r="G1" s="9" t="inlineStr">
        <is>
          <t>Aporte</t>
        </is>
      </c>
      <c r="H1" s="9" t="inlineStr">
        <is>
          <t>Custo Realizado</t>
        </is>
      </c>
      <c r="I1" s="9" t="inlineStr">
        <is>
          <t>Total Pago</t>
        </is>
      </c>
      <c r="J1" s="9" t="inlineStr">
        <is>
          <t>A Pagar</t>
        </is>
      </c>
      <c r="K1" s="9" t="inlineStr">
        <is>
          <t>Situação</t>
        </is>
      </c>
      <c r="L1" s="9" t="inlineStr">
        <is>
          <t>Observação</t>
        </is>
      </c>
      <c r="M1" s="9" t="inlineStr">
        <is>
          <t>ID_Obra (técnico)</t>
        </is>
      </c>
    </row>
    <row r="2">
      <c r="A2" s="4">
        <f>IF($B2="","","FIN-"&amp;TEXT(ROW()-1,"0000"))</f>
        <v/>
      </c>
      <c r="B2" s="4" t="n"/>
      <c r="C2" s="5" t="n"/>
      <c r="D2" s="4" t="n"/>
      <c r="E2" s="14" t="n"/>
      <c r="F2" s="12">
        <f>IF($B2="","",IF($B2="Aporte","Entrada",IF($B2="Outras Entradas","Entrada",IF($B2="Outras Saídas","Saída","Custo (Caixa só no Pagamento)"))))</f>
        <v/>
      </c>
      <c r="G2" s="15">
        <f>IF($B2="Aporte",$E2,"")</f>
        <v/>
      </c>
      <c r="H2" s="15">
        <f>IF($B2="Despesa/Custo",$E2,"")</f>
        <v/>
      </c>
      <c r="I2" s="15">
        <f>IF($B2="Despesa/Custo",SUMIFS(Pagamentos!$D:$D,Pagamentos!$F:$F,$A2),"")</f>
        <v/>
      </c>
      <c r="J2" s="15">
        <f>IF($B2="Despesa/Custo",$H2-$I2,"")</f>
        <v/>
      </c>
      <c r="K2" s="4" t="n"/>
      <c r="L2" s="4" t="n"/>
      <c r="M2" s="4">
        <f>IF($B2="","",Base_Dados!$B$2)</f>
        <v/>
      </c>
    </row>
    <row r="3">
      <c r="A3" s="4">
        <f>IF($B3="","","FIN-"&amp;TEXT(ROW()-1,"0000"))</f>
        <v/>
      </c>
      <c r="B3" s="4" t="n"/>
      <c r="C3" s="5" t="n"/>
      <c r="D3" s="4" t="n"/>
      <c r="E3" s="14" t="n"/>
      <c r="F3" s="12">
        <f>IF($B3="","",IF($B3="Aporte","Entrada",IF($B3="Outras Entradas","Entrada",IF($B3="Outras Saídas","Saída","Custo (Caixa só no Pagamento)"))))</f>
        <v/>
      </c>
      <c r="G3" s="15">
        <f>IF($B3="Aporte",$E3,"")</f>
        <v/>
      </c>
      <c r="H3" s="15">
        <f>IF($B3="Despesa/Custo",$E3,"")</f>
        <v/>
      </c>
      <c r="I3" s="15">
        <f>IF($B3="Despesa/Custo",SUMIFS(Pagamentos!$D:$D,Pagamentos!$F:$F,$A3),"")</f>
        <v/>
      </c>
      <c r="J3" s="15">
        <f>IF($B3="Despesa/Custo",$H3-$I3,"")</f>
        <v/>
      </c>
      <c r="K3" s="4" t="n"/>
      <c r="L3" s="4" t="n"/>
      <c r="M3" s="4">
        <f>IF($B3="","",Base_Dados!$B$2)</f>
        <v/>
      </c>
    </row>
    <row r="4">
      <c r="A4" s="4">
        <f>IF($B4="","","FIN-"&amp;TEXT(ROW()-1,"0000"))</f>
        <v/>
      </c>
      <c r="B4" s="4" t="n"/>
      <c r="C4" s="5" t="n"/>
      <c r="D4" s="4" t="n"/>
      <c r="E4" s="14" t="n"/>
      <c r="F4" s="12">
        <f>IF($B4="","",IF($B4="Aporte","Entrada",IF($B4="Outras Entradas","Entrada",IF($B4="Outras Saídas","Saída","Custo (Caixa só no Pagamento)"))))</f>
        <v/>
      </c>
      <c r="G4" s="15">
        <f>IF($B4="Aporte",$E4,"")</f>
        <v/>
      </c>
      <c r="H4" s="15">
        <f>IF($B4="Despesa/Custo",$E4,"")</f>
        <v/>
      </c>
      <c r="I4" s="15">
        <f>IF($B4="Despesa/Custo",SUMIFS(Pagamentos!$D:$D,Pagamentos!$F:$F,$A4),"")</f>
        <v/>
      </c>
      <c r="J4" s="15">
        <f>IF($B4="Despesa/Custo",$H4-$I4,"")</f>
        <v/>
      </c>
      <c r="K4" s="4" t="n"/>
      <c r="L4" s="4" t="n"/>
      <c r="M4" s="4">
        <f>IF($B4="","",Base_Dados!$B$2)</f>
        <v/>
      </c>
    </row>
    <row r="5">
      <c r="A5" s="4">
        <f>IF($B5="","","FIN-"&amp;TEXT(ROW()-1,"0000"))</f>
        <v/>
      </c>
      <c r="B5" s="4" t="n"/>
      <c r="C5" s="5" t="n"/>
      <c r="D5" s="4" t="n"/>
      <c r="E5" s="14" t="n"/>
      <c r="F5" s="12">
        <f>IF($B5="","",IF($B5="Aporte","Entrada",IF($B5="Outras Entradas","Entrada",IF($B5="Outras Saídas","Saída","Custo (Caixa só no Pagamento)"))))</f>
        <v/>
      </c>
      <c r="G5" s="15">
        <f>IF($B5="Aporte",$E5,"")</f>
        <v/>
      </c>
      <c r="H5" s="15">
        <f>IF($B5="Despesa/Custo",$E5,"")</f>
        <v/>
      </c>
      <c r="I5" s="15">
        <f>IF($B5="Despesa/Custo",SUMIFS(Pagamentos!$D:$D,Pagamentos!$F:$F,$A5),"")</f>
        <v/>
      </c>
      <c r="J5" s="15">
        <f>IF($B5="Despesa/Custo",$H5-$I5,"")</f>
        <v/>
      </c>
      <c r="K5" s="4" t="n"/>
      <c r="L5" s="4" t="n"/>
      <c r="M5" s="4">
        <f>IF($B5="","",Base_Dados!$B$2)</f>
        <v/>
      </c>
    </row>
    <row r="6">
      <c r="A6" s="4">
        <f>IF($B6="","","FIN-"&amp;TEXT(ROW()-1,"0000"))</f>
        <v/>
      </c>
      <c r="B6" s="4" t="n"/>
      <c r="C6" s="5" t="n"/>
      <c r="D6" s="4" t="n"/>
      <c r="E6" s="14" t="n"/>
      <c r="F6" s="12">
        <f>IF($B6="","",IF($B6="Aporte","Entrada",IF($B6="Outras Entradas","Entrada",IF($B6="Outras Saídas","Saída","Custo (Caixa só no Pagamento)"))))</f>
        <v/>
      </c>
      <c r="G6" s="15">
        <f>IF($B6="Aporte",$E6,"")</f>
        <v/>
      </c>
      <c r="H6" s="15">
        <f>IF($B6="Despesa/Custo",$E6,"")</f>
        <v/>
      </c>
      <c r="I6" s="15">
        <f>IF($B6="Despesa/Custo",SUMIFS(Pagamentos!$D:$D,Pagamentos!$F:$F,$A6),"")</f>
        <v/>
      </c>
      <c r="J6" s="15">
        <f>IF($B6="Despesa/Custo",$H6-$I6,"")</f>
        <v/>
      </c>
      <c r="K6" s="4" t="n"/>
      <c r="L6" s="4" t="n"/>
      <c r="M6" s="4">
        <f>IF($B6="","",Base_Dados!$B$2)</f>
        <v/>
      </c>
    </row>
    <row r="7">
      <c r="A7" s="4">
        <f>IF($B7="","","FIN-"&amp;TEXT(ROW()-1,"0000"))</f>
        <v/>
      </c>
      <c r="B7" s="4" t="n"/>
      <c r="C7" s="5" t="n"/>
      <c r="D7" s="4" t="n"/>
      <c r="E7" s="14" t="n"/>
      <c r="F7" s="12">
        <f>IF($B7="","",IF($B7="Aporte","Entrada",IF($B7="Outras Entradas","Entrada",IF($B7="Outras Saídas","Saída","Custo (Caixa só no Pagamento)"))))</f>
        <v/>
      </c>
      <c r="G7" s="15">
        <f>IF($B7="Aporte",$E7,"")</f>
        <v/>
      </c>
      <c r="H7" s="15">
        <f>IF($B7="Despesa/Custo",$E7,"")</f>
        <v/>
      </c>
      <c r="I7" s="15">
        <f>IF($B7="Despesa/Custo",SUMIFS(Pagamentos!$D:$D,Pagamentos!$F:$F,$A7),"")</f>
        <v/>
      </c>
      <c r="J7" s="15">
        <f>IF($B7="Despesa/Custo",$H7-$I7,"")</f>
        <v/>
      </c>
      <c r="K7" s="4" t="n"/>
      <c r="L7" s="4" t="n"/>
      <c r="M7" s="4">
        <f>IF($B7="","",Base_Dados!$B$2)</f>
        <v/>
      </c>
    </row>
    <row r="8">
      <c r="A8" s="4">
        <f>IF($B8="","","FIN-"&amp;TEXT(ROW()-1,"0000"))</f>
        <v/>
      </c>
      <c r="B8" s="4" t="n"/>
      <c r="C8" s="5" t="n"/>
      <c r="D8" s="4" t="n"/>
      <c r="E8" s="14" t="n"/>
      <c r="F8" s="12">
        <f>IF($B8="","",IF($B8="Aporte","Entrada",IF($B8="Outras Entradas","Entrada",IF($B8="Outras Saídas","Saída","Custo (Caixa só no Pagamento)"))))</f>
        <v/>
      </c>
      <c r="G8" s="15">
        <f>IF($B8="Aporte",$E8,"")</f>
        <v/>
      </c>
      <c r="H8" s="15">
        <f>IF($B8="Despesa/Custo",$E8,"")</f>
        <v/>
      </c>
      <c r="I8" s="15">
        <f>IF($B8="Despesa/Custo",SUMIFS(Pagamentos!$D:$D,Pagamentos!$F:$F,$A8),"")</f>
        <v/>
      </c>
      <c r="J8" s="15">
        <f>IF($B8="Despesa/Custo",$H8-$I8,"")</f>
        <v/>
      </c>
      <c r="K8" s="4" t="n"/>
      <c r="L8" s="4" t="n"/>
      <c r="M8" s="4">
        <f>IF($B8="","",Base_Dados!$B$2)</f>
        <v/>
      </c>
    </row>
    <row r="9">
      <c r="A9" s="4">
        <f>IF($B9="","","FIN-"&amp;TEXT(ROW()-1,"0000"))</f>
        <v/>
      </c>
      <c r="B9" s="4" t="n"/>
      <c r="C9" s="5" t="n"/>
      <c r="D9" s="4" t="n"/>
      <c r="E9" s="14" t="n"/>
      <c r="F9" s="12">
        <f>IF($B9="","",IF($B9="Aporte","Entrada",IF($B9="Outras Entradas","Entrada",IF($B9="Outras Saídas","Saída","Custo (Caixa só no Pagamento)"))))</f>
        <v/>
      </c>
      <c r="G9" s="15">
        <f>IF($B9="Aporte",$E9,"")</f>
        <v/>
      </c>
      <c r="H9" s="15">
        <f>IF($B9="Despesa/Custo",$E9,"")</f>
        <v/>
      </c>
      <c r="I9" s="15">
        <f>IF($B9="Despesa/Custo",SUMIFS(Pagamentos!$D:$D,Pagamentos!$F:$F,$A9),"")</f>
        <v/>
      </c>
      <c r="J9" s="15">
        <f>IF($B9="Despesa/Custo",$H9-$I9,"")</f>
        <v/>
      </c>
      <c r="K9" s="4" t="n"/>
      <c r="L9" s="4" t="n"/>
      <c r="M9" s="4">
        <f>IF($B9="","",Base_Dados!$B$2)</f>
        <v/>
      </c>
    </row>
    <row r="10">
      <c r="A10" s="4">
        <f>IF($B10="","","FIN-"&amp;TEXT(ROW()-1,"0000"))</f>
        <v/>
      </c>
      <c r="B10" s="4" t="n"/>
      <c r="C10" s="5" t="n"/>
      <c r="D10" s="4" t="n"/>
      <c r="E10" s="14" t="n"/>
      <c r="F10" s="12">
        <f>IF($B10="","",IF($B10="Aporte","Entrada",IF($B10="Outras Entradas","Entrada",IF($B10="Outras Saídas","Saída","Custo (Caixa só no Pagamento)"))))</f>
        <v/>
      </c>
      <c r="G10" s="15">
        <f>IF($B10="Aporte",$E10,"")</f>
        <v/>
      </c>
      <c r="H10" s="15">
        <f>IF($B10="Despesa/Custo",$E10,"")</f>
        <v/>
      </c>
      <c r="I10" s="15">
        <f>IF($B10="Despesa/Custo",SUMIFS(Pagamentos!$D:$D,Pagamentos!$F:$F,$A10),"")</f>
        <v/>
      </c>
      <c r="J10" s="15">
        <f>IF($B10="Despesa/Custo",$H10-$I10,"")</f>
        <v/>
      </c>
      <c r="K10" s="4" t="n"/>
      <c r="L10" s="4" t="n"/>
      <c r="M10" s="4">
        <f>IF($B10="","",Base_Dados!$B$2)</f>
        <v/>
      </c>
    </row>
    <row r="11">
      <c r="A11" s="4">
        <f>IF($B11="","","FIN-"&amp;TEXT(ROW()-1,"0000"))</f>
        <v/>
      </c>
      <c r="B11" s="4" t="n"/>
      <c r="C11" s="5" t="n"/>
      <c r="D11" s="4" t="n"/>
      <c r="E11" s="14" t="n"/>
      <c r="F11" s="12">
        <f>IF($B11="","",IF($B11="Aporte","Entrada",IF($B11="Outras Entradas","Entrada",IF($B11="Outras Saídas","Saída","Custo (Caixa só no Pagamento)"))))</f>
        <v/>
      </c>
      <c r="G11" s="15">
        <f>IF($B11="Aporte",$E11,"")</f>
        <v/>
      </c>
      <c r="H11" s="15">
        <f>IF($B11="Despesa/Custo",$E11,"")</f>
        <v/>
      </c>
      <c r="I11" s="15">
        <f>IF($B11="Despesa/Custo",SUMIFS(Pagamentos!$D:$D,Pagamentos!$F:$F,$A11),"")</f>
        <v/>
      </c>
      <c r="J11" s="15">
        <f>IF($B11="Despesa/Custo",$H11-$I11,"")</f>
        <v/>
      </c>
      <c r="K11" s="4" t="n"/>
      <c r="L11" s="4" t="n"/>
      <c r="M11" s="4">
        <f>IF($B11="","",Base_Dados!$B$2)</f>
        <v/>
      </c>
    </row>
    <row r="12">
      <c r="A12" s="4">
        <f>IF($B12="","","FIN-"&amp;TEXT(ROW()-1,"0000"))</f>
        <v/>
      </c>
      <c r="B12" s="4" t="n"/>
      <c r="C12" s="5" t="n"/>
      <c r="D12" s="4" t="n"/>
      <c r="E12" s="14" t="n"/>
      <c r="F12" s="12">
        <f>IF($B12="","",IF($B12="Aporte","Entrada",IF($B12="Outras Entradas","Entrada",IF($B12="Outras Saídas","Saída","Custo (Caixa só no Pagamento)"))))</f>
        <v/>
      </c>
      <c r="G12" s="15">
        <f>IF($B12="Aporte",$E12,"")</f>
        <v/>
      </c>
      <c r="H12" s="15">
        <f>IF($B12="Despesa/Custo",$E12,"")</f>
        <v/>
      </c>
      <c r="I12" s="15">
        <f>IF($B12="Despesa/Custo",SUMIFS(Pagamentos!$D:$D,Pagamentos!$F:$F,$A12),"")</f>
        <v/>
      </c>
      <c r="J12" s="15">
        <f>IF($B12="Despesa/Custo",$H12-$I12,"")</f>
        <v/>
      </c>
      <c r="K12" s="4" t="n"/>
      <c r="L12" s="4" t="n"/>
      <c r="M12" s="4">
        <f>IF($B12="","",Base_Dados!$B$2)</f>
        <v/>
      </c>
    </row>
    <row r="13">
      <c r="A13" s="4">
        <f>IF($B13="","","FIN-"&amp;TEXT(ROW()-1,"0000"))</f>
        <v/>
      </c>
      <c r="B13" s="4" t="n"/>
      <c r="C13" s="5" t="n"/>
      <c r="D13" s="4" t="n"/>
      <c r="E13" s="14" t="n"/>
      <c r="F13" s="12">
        <f>IF($B13="","",IF($B13="Aporte","Entrada",IF($B13="Outras Entradas","Entrada",IF($B13="Outras Saídas","Saída","Custo (Caixa só no Pagamento)"))))</f>
        <v/>
      </c>
      <c r="G13" s="15">
        <f>IF($B13="Aporte",$E13,"")</f>
        <v/>
      </c>
      <c r="H13" s="15">
        <f>IF($B13="Despesa/Custo",$E13,"")</f>
        <v/>
      </c>
      <c r="I13" s="15">
        <f>IF($B13="Despesa/Custo",SUMIFS(Pagamentos!$D:$D,Pagamentos!$F:$F,$A13),"")</f>
        <v/>
      </c>
      <c r="J13" s="15">
        <f>IF($B13="Despesa/Custo",$H13-$I13,"")</f>
        <v/>
      </c>
      <c r="K13" s="4" t="n"/>
      <c r="L13" s="4" t="n"/>
      <c r="M13" s="4">
        <f>IF($B13="","",Base_Dados!$B$2)</f>
        <v/>
      </c>
    </row>
    <row r="14">
      <c r="A14" s="4">
        <f>IF($B14="","","FIN-"&amp;TEXT(ROW()-1,"0000"))</f>
        <v/>
      </c>
      <c r="B14" s="4" t="n"/>
      <c r="C14" s="5" t="n"/>
      <c r="D14" s="4" t="n"/>
      <c r="E14" s="14" t="n"/>
      <c r="F14" s="12">
        <f>IF($B14="","",IF($B14="Aporte","Entrada",IF($B14="Outras Entradas","Entrada",IF($B14="Outras Saídas","Saída","Custo (Caixa só no Pagamento)"))))</f>
        <v/>
      </c>
      <c r="G14" s="15">
        <f>IF($B14="Aporte",$E14,"")</f>
        <v/>
      </c>
      <c r="H14" s="15">
        <f>IF($B14="Despesa/Custo",$E14,"")</f>
        <v/>
      </c>
      <c r="I14" s="15">
        <f>IF($B14="Despesa/Custo",SUMIFS(Pagamentos!$D:$D,Pagamentos!$F:$F,$A14),"")</f>
        <v/>
      </c>
      <c r="J14" s="15">
        <f>IF($B14="Despesa/Custo",$H14-$I14,"")</f>
        <v/>
      </c>
      <c r="K14" s="4" t="n"/>
      <c r="L14" s="4" t="n"/>
      <c r="M14" s="4">
        <f>IF($B14="","",Base_Dados!$B$2)</f>
        <v/>
      </c>
    </row>
    <row r="15">
      <c r="A15" s="4">
        <f>IF($B15="","","FIN-"&amp;TEXT(ROW()-1,"0000"))</f>
        <v/>
      </c>
      <c r="B15" s="4" t="n"/>
      <c r="C15" s="5" t="n"/>
      <c r="D15" s="4" t="n"/>
      <c r="E15" s="14" t="n"/>
      <c r="F15" s="12">
        <f>IF($B15="","",IF($B15="Aporte","Entrada",IF($B15="Outras Entradas","Entrada",IF($B15="Outras Saídas","Saída","Custo (Caixa só no Pagamento)"))))</f>
        <v/>
      </c>
      <c r="G15" s="15">
        <f>IF($B15="Aporte",$E15,"")</f>
        <v/>
      </c>
      <c r="H15" s="15">
        <f>IF($B15="Despesa/Custo",$E15,"")</f>
        <v/>
      </c>
      <c r="I15" s="15">
        <f>IF($B15="Despesa/Custo",SUMIFS(Pagamentos!$D:$D,Pagamentos!$F:$F,$A15),"")</f>
        <v/>
      </c>
      <c r="J15" s="15">
        <f>IF($B15="Despesa/Custo",$H15-$I15,"")</f>
        <v/>
      </c>
      <c r="K15" s="4" t="n"/>
      <c r="L15" s="4" t="n"/>
      <c r="M15" s="4">
        <f>IF($B15="","",Base_Dados!$B$2)</f>
        <v/>
      </c>
    </row>
    <row r="16">
      <c r="A16" s="4">
        <f>IF($B16="","","FIN-"&amp;TEXT(ROW()-1,"0000"))</f>
        <v/>
      </c>
      <c r="B16" s="4" t="n"/>
      <c r="C16" s="5" t="n"/>
      <c r="D16" s="4" t="n"/>
      <c r="E16" s="14" t="n"/>
      <c r="F16" s="12">
        <f>IF($B16="","",IF($B16="Aporte","Entrada",IF($B16="Outras Entradas","Entrada",IF($B16="Outras Saídas","Saída","Custo (Caixa só no Pagamento)"))))</f>
        <v/>
      </c>
      <c r="G16" s="15">
        <f>IF($B16="Aporte",$E16,"")</f>
        <v/>
      </c>
      <c r="H16" s="15">
        <f>IF($B16="Despesa/Custo",$E16,"")</f>
        <v/>
      </c>
      <c r="I16" s="15">
        <f>IF($B16="Despesa/Custo",SUMIFS(Pagamentos!$D:$D,Pagamentos!$F:$F,$A16),"")</f>
        <v/>
      </c>
      <c r="J16" s="15">
        <f>IF($B16="Despesa/Custo",$H16-$I16,"")</f>
        <v/>
      </c>
      <c r="K16" s="4" t="n"/>
      <c r="L16" s="4" t="n"/>
      <c r="M16" s="4">
        <f>IF($B16="","",Base_Dados!$B$2)</f>
        <v/>
      </c>
    </row>
    <row r="17">
      <c r="A17" s="4">
        <f>IF($B17="","","FIN-"&amp;TEXT(ROW()-1,"0000"))</f>
        <v/>
      </c>
      <c r="B17" s="4" t="n"/>
      <c r="C17" s="5" t="n"/>
      <c r="D17" s="4" t="n"/>
      <c r="E17" s="14" t="n"/>
      <c r="F17" s="12">
        <f>IF($B17="","",IF($B17="Aporte","Entrada",IF($B17="Outras Entradas","Entrada",IF($B17="Outras Saídas","Saída","Custo (Caixa só no Pagamento)"))))</f>
        <v/>
      </c>
      <c r="G17" s="15">
        <f>IF($B17="Aporte",$E17,"")</f>
        <v/>
      </c>
      <c r="H17" s="15">
        <f>IF($B17="Despesa/Custo",$E17,"")</f>
        <v/>
      </c>
      <c r="I17" s="15">
        <f>IF($B17="Despesa/Custo",SUMIFS(Pagamentos!$D:$D,Pagamentos!$F:$F,$A17),"")</f>
        <v/>
      </c>
      <c r="J17" s="15">
        <f>IF($B17="Despesa/Custo",$H17-$I17,"")</f>
        <v/>
      </c>
      <c r="K17" s="4" t="n"/>
      <c r="L17" s="4" t="n"/>
      <c r="M17" s="4">
        <f>IF($B17="","",Base_Dados!$B$2)</f>
        <v/>
      </c>
    </row>
    <row r="18">
      <c r="A18" s="4">
        <f>IF($B18="","","FIN-"&amp;TEXT(ROW()-1,"0000"))</f>
        <v/>
      </c>
      <c r="B18" s="4" t="n"/>
      <c r="C18" s="5" t="n"/>
      <c r="D18" s="4" t="n"/>
      <c r="E18" s="14" t="n"/>
      <c r="F18" s="12">
        <f>IF($B18="","",IF($B18="Aporte","Entrada",IF($B18="Outras Entradas","Entrada",IF($B18="Outras Saídas","Saída","Custo (Caixa só no Pagamento)"))))</f>
        <v/>
      </c>
      <c r="G18" s="15">
        <f>IF($B18="Aporte",$E18,"")</f>
        <v/>
      </c>
      <c r="H18" s="15">
        <f>IF($B18="Despesa/Custo",$E18,"")</f>
        <v/>
      </c>
      <c r="I18" s="15">
        <f>IF($B18="Despesa/Custo",SUMIFS(Pagamentos!$D:$D,Pagamentos!$F:$F,$A18),"")</f>
        <v/>
      </c>
      <c r="J18" s="15">
        <f>IF($B18="Despesa/Custo",$H18-$I18,"")</f>
        <v/>
      </c>
      <c r="K18" s="4" t="n"/>
      <c r="L18" s="4" t="n"/>
      <c r="M18" s="4">
        <f>IF($B18="","",Base_Dados!$B$2)</f>
        <v/>
      </c>
    </row>
    <row r="19">
      <c r="A19" s="4">
        <f>IF($B19="","","FIN-"&amp;TEXT(ROW()-1,"0000"))</f>
        <v/>
      </c>
      <c r="B19" s="4" t="n"/>
      <c r="C19" s="5" t="n"/>
      <c r="D19" s="4" t="n"/>
      <c r="E19" s="14" t="n"/>
      <c r="F19" s="12">
        <f>IF($B19="","",IF($B19="Aporte","Entrada",IF($B19="Outras Entradas","Entrada",IF($B19="Outras Saídas","Saída","Custo (Caixa só no Pagamento)"))))</f>
        <v/>
      </c>
      <c r="G19" s="15">
        <f>IF($B19="Aporte",$E19,"")</f>
        <v/>
      </c>
      <c r="H19" s="15">
        <f>IF($B19="Despesa/Custo",$E19,"")</f>
        <v/>
      </c>
      <c r="I19" s="15">
        <f>IF($B19="Despesa/Custo",SUMIFS(Pagamentos!$D:$D,Pagamentos!$F:$F,$A19),"")</f>
        <v/>
      </c>
      <c r="J19" s="15">
        <f>IF($B19="Despesa/Custo",$H19-$I19,"")</f>
        <v/>
      </c>
      <c r="K19" s="4" t="n"/>
      <c r="L19" s="4" t="n"/>
      <c r="M19" s="4">
        <f>IF($B19="","",Base_Dados!$B$2)</f>
        <v/>
      </c>
    </row>
    <row r="20">
      <c r="A20" s="4">
        <f>IF($B20="","","FIN-"&amp;TEXT(ROW()-1,"0000"))</f>
        <v/>
      </c>
      <c r="B20" s="4" t="n"/>
      <c r="C20" s="5" t="n"/>
      <c r="D20" s="4" t="n"/>
      <c r="E20" s="14" t="n"/>
      <c r="F20" s="12">
        <f>IF($B20="","",IF($B20="Aporte","Entrada",IF($B20="Outras Entradas","Entrada",IF($B20="Outras Saídas","Saída","Custo (Caixa só no Pagamento)"))))</f>
        <v/>
      </c>
      <c r="G20" s="15">
        <f>IF($B20="Aporte",$E20,"")</f>
        <v/>
      </c>
      <c r="H20" s="15">
        <f>IF($B20="Despesa/Custo",$E20,"")</f>
        <v/>
      </c>
      <c r="I20" s="15">
        <f>IF($B20="Despesa/Custo",SUMIFS(Pagamentos!$D:$D,Pagamentos!$F:$F,$A20),"")</f>
        <v/>
      </c>
      <c r="J20" s="15">
        <f>IF($B20="Despesa/Custo",$H20-$I20,"")</f>
        <v/>
      </c>
      <c r="K20" s="4" t="n"/>
      <c r="L20" s="4" t="n"/>
      <c r="M20" s="4">
        <f>IF($B20="","",Base_Dados!$B$2)</f>
        <v/>
      </c>
    </row>
    <row r="21">
      <c r="A21" s="4">
        <f>IF($B21="","","FIN-"&amp;TEXT(ROW()-1,"0000"))</f>
        <v/>
      </c>
      <c r="B21" s="4" t="n"/>
      <c r="C21" s="5" t="n"/>
      <c r="D21" s="4" t="n"/>
      <c r="E21" s="14" t="n"/>
      <c r="F21" s="12">
        <f>IF($B21="","",IF($B21="Aporte","Entrada",IF($B21="Outras Entradas","Entrada",IF($B21="Outras Saídas","Saída","Custo (Caixa só no Pagamento)"))))</f>
        <v/>
      </c>
      <c r="G21" s="15">
        <f>IF($B21="Aporte",$E21,"")</f>
        <v/>
      </c>
      <c r="H21" s="15">
        <f>IF($B21="Despesa/Custo",$E21,"")</f>
        <v/>
      </c>
      <c r="I21" s="15">
        <f>IF($B21="Despesa/Custo",SUMIFS(Pagamentos!$D:$D,Pagamentos!$F:$F,$A21),"")</f>
        <v/>
      </c>
      <c r="J21" s="15">
        <f>IF($B21="Despesa/Custo",$H21-$I21,"")</f>
        <v/>
      </c>
      <c r="K21" s="4" t="n"/>
      <c r="L21" s="4" t="n"/>
      <c r="M21" s="4">
        <f>IF($B21="","",Base_Dados!$B$2)</f>
        <v/>
      </c>
    </row>
    <row r="22">
      <c r="A22" s="4">
        <f>IF($B22="","","FIN-"&amp;TEXT(ROW()-1,"0000"))</f>
        <v/>
      </c>
      <c r="B22" s="4" t="n"/>
      <c r="C22" s="5" t="n"/>
      <c r="D22" s="4" t="n"/>
      <c r="E22" s="14" t="n"/>
      <c r="F22" s="12">
        <f>IF($B22="","",IF($B22="Aporte","Entrada",IF($B22="Outras Entradas","Entrada",IF($B22="Outras Saídas","Saída","Custo (Caixa só no Pagamento)"))))</f>
        <v/>
      </c>
      <c r="G22" s="15">
        <f>IF($B22="Aporte",$E22,"")</f>
        <v/>
      </c>
      <c r="H22" s="15">
        <f>IF($B22="Despesa/Custo",$E22,"")</f>
        <v/>
      </c>
      <c r="I22" s="15">
        <f>IF($B22="Despesa/Custo",SUMIFS(Pagamentos!$D:$D,Pagamentos!$F:$F,$A22),"")</f>
        <v/>
      </c>
      <c r="J22" s="15">
        <f>IF($B22="Despesa/Custo",$H22-$I22,"")</f>
        <v/>
      </c>
      <c r="K22" s="4" t="n"/>
      <c r="L22" s="4" t="n"/>
      <c r="M22" s="4">
        <f>IF($B22="","",Base_Dados!$B$2)</f>
        <v/>
      </c>
    </row>
    <row r="23">
      <c r="A23" s="4">
        <f>IF($B23="","","FIN-"&amp;TEXT(ROW()-1,"0000"))</f>
        <v/>
      </c>
      <c r="B23" s="4" t="n"/>
      <c r="C23" s="5" t="n"/>
      <c r="D23" s="4" t="n"/>
      <c r="E23" s="14" t="n"/>
      <c r="F23" s="12">
        <f>IF($B23="","",IF($B23="Aporte","Entrada",IF($B23="Outras Entradas","Entrada",IF($B23="Outras Saídas","Saída","Custo (Caixa só no Pagamento)"))))</f>
        <v/>
      </c>
      <c r="G23" s="15">
        <f>IF($B23="Aporte",$E23,"")</f>
        <v/>
      </c>
      <c r="H23" s="15">
        <f>IF($B23="Despesa/Custo",$E23,"")</f>
        <v/>
      </c>
      <c r="I23" s="15">
        <f>IF($B23="Despesa/Custo",SUMIFS(Pagamentos!$D:$D,Pagamentos!$F:$F,$A23),"")</f>
        <v/>
      </c>
      <c r="J23" s="15">
        <f>IF($B23="Despesa/Custo",$H23-$I23,"")</f>
        <v/>
      </c>
      <c r="K23" s="4" t="n"/>
      <c r="L23" s="4" t="n"/>
      <c r="M23" s="4">
        <f>IF($B23="","",Base_Dados!$B$2)</f>
        <v/>
      </c>
    </row>
    <row r="24">
      <c r="A24" s="4">
        <f>IF($B24="","","FIN-"&amp;TEXT(ROW()-1,"0000"))</f>
        <v/>
      </c>
      <c r="B24" s="4" t="n"/>
      <c r="C24" s="5" t="n"/>
      <c r="D24" s="4" t="n"/>
      <c r="E24" s="14" t="n"/>
      <c r="F24" s="12">
        <f>IF($B24="","",IF($B24="Aporte","Entrada",IF($B24="Outras Entradas","Entrada",IF($B24="Outras Saídas","Saída","Custo (Caixa só no Pagamento)"))))</f>
        <v/>
      </c>
      <c r="G24" s="15">
        <f>IF($B24="Aporte",$E24,"")</f>
        <v/>
      </c>
      <c r="H24" s="15">
        <f>IF($B24="Despesa/Custo",$E24,"")</f>
        <v/>
      </c>
      <c r="I24" s="15">
        <f>IF($B24="Despesa/Custo",SUMIFS(Pagamentos!$D:$D,Pagamentos!$F:$F,$A24),"")</f>
        <v/>
      </c>
      <c r="J24" s="15">
        <f>IF($B24="Despesa/Custo",$H24-$I24,"")</f>
        <v/>
      </c>
      <c r="K24" s="4" t="n"/>
      <c r="L24" s="4" t="n"/>
      <c r="M24" s="4">
        <f>IF($B24="","",Base_Dados!$B$2)</f>
        <v/>
      </c>
    </row>
    <row r="25">
      <c r="A25" s="4">
        <f>IF($B25="","","FIN-"&amp;TEXT(ROW()-1,"0000"))</f>
        <v/>
      </c>
      <c r="B25" s="4" t="n"/>
      <c r="C25" s="5" t="n"/>
      <c r="D25" s="4" t="n"/>
      <c r="E25" s="14" t="n"/>
      <c r="F25" s="12">
        <f>IF($B25="","",IF($B25="Aporte","Entrada",IF($B25="Outras Entradas","Entrada",IF($B25="Outras Saídas","Saída","Custo (Caixa só no Pagamento)"))))</f>
        <v/>
      </c>
      <c r="G25" s="15">
        <f>IF($B25="Aporte",$E25,"")</f>
        <v/>
      </c>
      <c r="H25" s="15">
        <f>IF($B25="Despesa/Custo",$E25,"")</f>
        <v/>
      </c>
      <c r="I25" s="15">
        <f>IF($B25="Despesa/Custo",SUMIFS(Pagamentos!$D:$D,Pagamentos!$F:$F,$A25),"")</f>
        <v/>
      </c>
      <c r="J25" s="15">
        <f>IF($B25="Despesa/Custo",$H25-$I25,"")</f>
        <v/>
      </c>
      <c r="K25" s="4" t="n"/>
      <c r="L25" s="4" t="n"/>
      <c r="M25" s="4">
        <f>IF($B25="","",Base_Dados!$B$2)</f>
        <v/>
      </c>
    </row>
    <row r="26">
      <c r="A26" s="4">
        <f>IF($B26="","","FIN-"&amp;TEXT(ROW()-1,"0000"))</f>
        <v/>
      </c>
      <c r="B26" s="4" t="n"/>
      <c r="C26" s="5" t="n"/>
      <c r="D26" s="4" t="n"/>
      <c r="E26" s="14" t="n"/>
      <c r="F26" s="12">
        <f>IF($B26="","",IF($B26="Aporte","Entrada",IF($B26="Outras Entradas","Entrada",IF($B26="Outras Saídas","Saída","Custo (Caixa só no Pagamento)"))))</f>
        <v/>
      </c>
      <c r="G26" s="15">
        <f>IF($B26="Aporte",$E26,"")</f>
        <v/>
      </c>
      <c r="H26" s="15">
        <f>IF($B26="Despesa/Custo",$E26,"")</f>
        <v/>
      </c>
      <c r="I26" s="15">
        <f>IF($B26="Despesa/Custo",SUMIFS(Pagamentos!$D:$D,Pagamentos!$F:$F,$A26),"")</f>
        <v/>
      </c>
      <c r="J26" s="15">
        <f>IF($B26="Despesa/Custo",$H26-$I26,"")</f>
        <v/>
      </c>
      <c r="K26" s="4" t="n"/>
      <c r="L26" s="4" t="n"/>
      <c r="M26" s="4">
        <f>IF($B26="","",Base_Dados!$B$2)</f>
        <v/>
      </c>
    </row>
    <row r="27">
      <c r="A27" s="4">
        <f>IF($B27="","","FIN-"&amp;TEXT(ROW()-1,"0000"))</f>
        <v/>
      </c>
      <c r="B27" s="4" t="n"/>
      <c r="C27" s="5" t="n"/>
      <c r="D27" s="4" t="n"/>
      <c r="E27" s="14" t="n"/>
      <c r="F27" s="12">
        <f>IF($B27="","",IF($B27="Aporte","Entrada",IF($B27="Outras Entradas","Entrada",IF($B27="Outras Saídas","Saída","Custo (Caixa só no Pagamento)"))))</f>
        <v/>
      </c>
      <c r="G27" s="15">
        <f>IF($B27="Aporte",$E27,"")</f>
        <v/>
      </c>
      <c r="H27" s="15">
        <f>IF($B27="Despesa/Custo",$E27,"")</f>
        <v/>
      </c>
      <c r="I27" s="15">
        <f>IF($B27="Despesa/Custo",SUMIFS(Pagamentos!$D:$D,Pagamentos!$F:$F,$A27),"")</f>
        <v/>
      </c>
      <c r="J27" s="15">
        <f>IF($B27="Despesa/Custo",$H27-$I27,"")</f>
        <v/>
      </c>
      <c r="K27" s="4" t="n"/>
      <c r="L27" s="4" t="n"/>
      <c r="M27" s="4">
        <f>IF($B27="","",Base_Dados!$B$2)</f>
        <v/>
      </c>
    </row>
    <row r="28">
      <c r="A28" s="4">
        <f>IF($B28="","","FIN-"&amp;TEXT(ROW()-1,"0000"))</f>
        <v/>
      </c>
      <c r="B28" s="4" t="n"/>
      <c r="C28" s="5" t="n"/>
      <c r="D28" s="4" t="n"/>
      <c r="E28" s="14" t="n"/>
      <c r="F28" s="12">
        <f>IF($B28="","",IF($B28="Aporte","Entrada",IF($B28="Outras Entradas","Entrada",IF($B28="Outras Saídas","Saída","Custo (Caixa só no Pagamento)"))))</f>
        <v/>
      </c>
      <c r="G28" s="15">
        <f>IF($B28="Aporte",$E28,"")</f>
        <v/>
      </c>
      <c r="H28" s="15">
        <f>IF($B28="Despesa/Custo",$E28,"")</f>
        <v/>
      </c>
      <c r="I28" s="15">
        <f>IF($B28="Despesa/Custo",SUMIFS(Pagamentos!$D:$D,Pagamentos!$F:$F,$A28),"")</f>
        <v/>
      </c>
      <c r="J28" s="15">
        <f>IF($B28="Despesa/Custo",$H28-$I28,"")</f>
        <v/>
      </c>
      <c r="K28" s="4" t="n"/>
      <c r="L28" s="4" t="n"/>
      <c r="M28" s="4">
        <f>IF($B28="","",Base_Dados!$B$2)</f>
        <v/>
      </c>
    </row>
    <row r="29">
      <c r="A29" s="4">
        <f>IF($B29="","","FIN-"&amp;TEXT(ROW()-1,"0000"))</f>
        <v/>
      </c>
      <c r="B29" s="4" t="n"/>
      <c r="C29" s="5" t="n"/>
      <c r="D29" s="4" t="n"/>
      <c r="E29" s="14" t="n"/>
      <c r="F29" s="12">
        <f>IF($B29="","",IF($B29="Aporte","Entrada",IF($B29="Outras Entradas","Entrada",IF($B29="Outras Saídas","Saída","Custo (Caixa só no Pagamento)"))))</f>
        <v/>
      </c>
      <c r="G29" s="15">
        <f>IF($B29="Aporte",$E29,"")</f>
        <v/>
      </c>
      <c r="H29" s="15">
        <f>IF($B29="Despesa/Custo",$E29,"")</f>
        <v/>
      </c>
      <c r="I29" s="15">
        <f>IF($B29="Despesa/Custo",SUMIFS(Pagamentos!$D:$D,Pagamentos!$F:$F,$A29),"")</f>
        <v/>
      </c>
      <c r="J29" s="15">
        <f>IF($B29="Despesa/Custo",$H29-$I29,"")</f>
        <v/>
      </c>
      <c r="K29" s="4" t="n"/>
      <c r="L29" s="4" t="n"/>
      <c r="M29" s="4">
        <f>IF($B29="","",Base_Dados!$B$2)</f>
        <v/>
      </c>
    </row>
    <row r="30">
      <c r="A30" s="4">
        <f>IF($B30="","","FIN-"&amp;TEXT(ROW()-1,"0000"))</f>
        <v/>
      </c>
      <c r="B30" s="4" t="n"/>
      <c r="C30" s="5" t="n"/>
      <c r="D30" s="4" t="n"/>
      <c r="E30" s="14" t="n"/>
      <c r="F30" s="12">
        <f>IF($B30="","",IF($B30="Aporte","Entrada",IF($B30="Outras Entradas","Entrada",IF($B30="Outras Saídas","Saída","Custo (Caixa só no Pagamento)"))))</f>
        <v/>
      </c>
      <c r="G30" s="15">
        <f>IF($B30="Aporte",$E30,"")</f>
        <v/>
      </c>
      <c r="H30" s="15">
        <f>IF($B30="Despesa/Custo",$E30,"")</f>
        <v/>
      </c>
      <c r="I30" s="15">
        <f>IF($B30="Despesa/Custo",SUMIFS(Pagamentos!$D:$D,Pagamentos!$F:$F,$A30),"")</f>
        <v/>
      </c>
      <c r="J30" s="15">
        <f>IF($B30="Despesa/Custo",$H30-$I30,"")</f>
        <v/>
      </c>
      <c r="K30" s="4" t="n"/>
      <c r="L30" s="4" t="n"/>
      <c r="M30" s="4">
        <f>IF($B30="","",Base_Dados!$B$2)</f>
        <v/>
      </c>
    </row>
    <row r="31">
      <c r="A31" s="4">
        <f>IF($B31="","","FIN-"&amp;TEXT(ROW()-1,"0000"))</f>
        <v/>
      </c>
      <c r="B31" s="4" t="n"/>
      <c r="C31" s="5" t="n"/>
      <c r="D31" s="4" t="n"/>
      <c r="E31" s="14" t="n"/>
      <c r="F31" s="12">
        <f>IF($B31="","",IF($B31="Aporte","Entrada",IF($B31="Outras Entradas","Entrada",IF($B31="Outras Saídas","Saída","Custo (Caixa só no Pagamento)"))))</f>
        <v/>
      </c>
      <c r="G31" s="15">
        <f>IF($B31="Aporte",$E31,"")</f>
        <v/>
      </c>
      <c r="H31" s="15">
        <f>IF($B31="Despesa/Custo",$E31,"")</f>
        <v/>
      </c>
      <c r="I31" s="15">
        <f>IF($B31="Despesa/Custo",SUMIFS(Pagamentos!$D:$D,Pagamentos!$F:$F,$A31),"")</f>
        <v/>
      </c>
      <c r="J31" s="15">
        <f>IF($B31="Despesa/Custo",$H31-$I31,"")</f>
        <v/>
      </c>
      <c r="K31" s="4" t="n"/>
      <c r="L31" s="4" t="n"/>
      <c r="M31" s="4">
        <f>IF($B31="","",Base_Dados!$B$2)</f>
        <v/>
      </c>
    </row>
  </sheetData>
  <dataValidations count="3">
    <dataValidation sqref="B2:B31" showDropDown="0" showInputMessage="0" showErrorMessage="1" allowBlank="1" errorTitle="Tipo inválido" error="Selecione um dos tipos oficiais: Aporte, Outras Entradas, Despesa/Custo, Outras Saídas." type="list">
      <formula1>"Aporte,Outras Entradas,Despesa/Custo,Outras Saídas"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  <dataValidation sqref="D2:D31" showDropDown="0" showInputMessage="0" showErrorMessage="1" allowBlank="1" errorTitle="Descrição duplicado" error="Já existe um registro com este mesmo descrição. Use um valor diferente para evitar vínculos ambíguos entre abas." type="custom">
      <formula1>COUNTIF(Lista_Financeiro_Descricoes,D2)=1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16" customWidth="1" min="3" max="3"/>
    <col width="16" customWidth="1" min="4" max="4"/>
    <col width="30" customWidth="1" min="5" max="5"/>
    <col hidden="1" width="18" customWidth="1" min="6" max="6"/>
  </cols>
  <sheetData>
    <row r="1" ht="30" customHeight="1">
      <c r="A1" s="9" t="inlineStr">
        <is>
          <t>ID (técnico)</t>
        </is>
      </c>
      <c r="B1" s="9" t="inlineStr">
        <is>
          <t>Lançamento (Despesa/Custo)</t>
        </is>
      </c>
      <c r="C1" s="9" t="inlineStr">
        <is>
          <t>Data do Pagamento</t>
        </is>
      </c>
      <c r="D1" s="9" t="inlineStr">
        <is>
          <t>Valor Pago</t>
        </is>
      </c>
      <c r="E1" s="9" t="inlineStr">
        <is>
          <t>Observação</t>
        </is>
      </c>
      <c r="F1" s="9" t="inlineStr">
        <is>
          <t>ID_Financeiro (técnico)</t>
        </is>
      </c>
    </row>
    <row r="2">
      <c r="A2" s="4">
        <f>IF($B2="","","PGT-"&amp;TEXT(ROW()-1,"0000"))</f>
        <v/>
      </c>
      <c r="B2" s="4" t="n"/>
      <c r="C2" s="5" t="n"/>
      <c r="D2" s="14" t="n"/>
      <c r="E2" s="4" t="n"/>
      <c r="F2" s="4">
        <f>IF($B2="","",INDEX(Financeiro!$A:$A,MATCH($B2,Financeiro!$D:$D,0)))</f>
        <v/>
      </c>
    </row>
    <row r="3">
      <c r="A3" s="4">
        <f>IF($B3="","","PGT-"&amp;TEXT(ROW()-1,"0000"))</f>
        <v/>
      </c>
      <c r="B3" s="4" t="n"/>
      <c r="C3" s="5" t="n"/>
      <c r="D3" s="14" t="n"/>
      <c r="E3" s="4" t="n"/>
      <c r="F3" s="4">
        <f>IF($B3="","",INDEX(Financeiro!$A:$A,MATCH($B3,Financeiro!$D:$D,0)))</f>
        <v/>
      </c>
    </row>
    <row r="4">
      <c r="A4" s="4">
        <f>IF($B4="","","PGT-"&amp;TEXT(ROW()-1,"0000"))</f>
        <v/>
      </c>
      <c r="B4" s="4" t="n"/>
      <c r="C4" s="5" t="n"/>
      <c r="D4" s="14" t="n"/>
      <c r="E4" s="4" t="n"/>
      <c r="F4" s="4">
        <f>IF($B4="","",INDEX(Financeiro!$A:$A,MATCH($B4,Financeiro!$D:$D,0)))</f>
        <v/>
      </c>
    </row>
    <row r="5">
      <c r="A5" s="4">
        <f>IF($B5="","","PGT-"&amp;TEXT(ROW()-1,"0000"))</f>
        <v/>
      </c>
      <c r="B5" s="4" t="n"/>
      <c r="C5" s="5" t="n"/>
      <c r="D5" s="14" t="n"/>
      <c r="E5" s="4" t="n"/>
      <c r="F5" s="4">
        <f>IF($B5="","",INDEX(Financeiro!$A:$A,MATCH($B5,Financeiro!$D:$D,0)))</f>
        <v/>
      </c>
    </row>
    <row r="6">
      <c r="A6" s="4">
        <f>IF($B6="","","PGT-"&amp;TEXT(ROW()-1,"0000"))</f>
        <v/>
      </c>
      <c r="B6" s="4" t="n"/>
      <c r="C6" s="5" t="n"/>
      <c r="D6" s="14" t="n"/>
      <c r="E6" s="4" t="n"/>
      <c r="F6" s="4">
        <f>IF($B6="","",INDEX(Financeiro!$A:$A,MATCH($B6,Financeiro!$D:$D,0)))</f>
        <v/>
      </c>
    </row>
    <row r="7">
      <c r="A7" s="4">
        <f>IF($B7="","","PGT-"&amp;TEXT(ROW()-1,"0000"))</f>
        <v/>
      </c>
      <c r="B7" s="4" t="n"/>
      <c r="C7" s="5" t="n"/>
      <c r="D7" s="14" t="n"/>
      <c r="E7" s="4" t="n"/>
      <c r="F7" s="4">
        <f>IF($B7="","",INDEX(Financeiro!$A:$A,MATCH($B7,Financeiro!$D:$D,0)))</f>
        <v/>
      </c>
    </row>
    <row r="8">
      <c r="A8" s="4">
        <f>IF($B8="","","PGT-"&amp;TEXT(ROW()-1,"0000"))</f>
        <v/>
      </c>
      <c r="B8" s="4" t="n"/>
      <c r="C8" s="5" t="n"/>
      <c r="D8" s="14" t="n"/>
      <c r="E8" s="4" t="n"/>
      <c r="F8" s="4">
        <f>IF($B8="","",INDEX(Financeiro!$A:$A,MATCH($B8,Financeiro!$D:$D,0)))</f>
        <v/>
      </c>
    </row>
    <row r="9">
      <c r="A9" s="4">
        <f>IF($B9="","","PGT-"&amp;TEXT(ROW()-1,"0000"))</f>
        <v/>
      </c>
      <c r="B9" s="4" t="n"/>
      <c r="C9" s="5" t="n"/>
      <c r="D9" s="14" t="n"/>
      <c r="E9" s="4" t="n"/>
      <c r="F9" s="4">
        <f>IF($B9="","",INDEX(Financeiro!$A:$A,MATCH($B9,Financeiro!$D:$D,0)))</f>
        <v/>
      </c>
    </row>
    <row r="10">
      <c r="A10" s="4">
        <f>IF($B10="","","PGT-"&amp;TEXT(ROW()-1,"0000"))</f>
        <v/>
      </c>
      <c r="B10" s="4" t="n"/>
      <c r="C10" s="5" t="n"/>
      <c r="D10" s="14" t="n"/>
      <c r="E10" s="4" t="n"/>
      <c r="F10" s="4">
        <f>IF($B10="","",INDEX(Financeiro!$A:$A,MATCH($B10,Financeiro!$D:$D,0)))</f>
        <v/>
      </c>
    </row>
    <row r="11">
      <c r="A11" s="4">
        <f>IF($B11="","","PGT-"&amp;TEXT(ROW()-1,"0000"))</f>
        <v/>
      </c>
      <c r="B11" s="4" t="n"/>
      <c r="C11" s="5" t="n"/>
      <c r="D11" s="14" t="n"/>
      <c r="E11" s="4" t="n"/>
      <c r="F11" s="4">
        <f>IF($B11="","",INDEX(Financeiro!$A:$A,MATCH($B11,Financeiro!$D:$D,0)))</f>
        <v/>
      </c>
    </row>
    <row r="12">
      <c r="A12" s="4">
        <f>IF($B12="","","PGT-"&amp;TEXT(ROW()-1,"0000"))</f>
        <v/>
      </c>
      <c r="B12" s="4" t="n"/>
      <c r="C12" s="5" t="n"/>
      <c r="D12" s="14" t="n"/>
      <c r="E12" s="4" t="n"/>
      <c r="F12" s="4">
        <f>IF($B12="","",INDEX(Financeiro!$A:$A,MATCH($B12,Financeiro!$D:$D,0)))</f>
        <v/>
      </c>
    </row>
    <row r="13">
      <c r="A13" s="4">
        <f>IF($B13="","","PGT-"&amp;TEXT(ROW()-1,"0000"))</f>
        <v/>
      </c>
      <c r="B13" s="4" t="n"/>
      <c r="C13" s="5" t="n"/>
      <c r="D13" s="14" t="n"/>
      <c r="E13" s="4" t="n"/>
      <c r="F13" s="4">
        <f>IF($B13="","",INDEX(Financeiro!$A:$A,MATCH($B13,Financeiro!$D:$D,0)))</f>
        <v/>
      </c>
    </row>
    <row r="14">
      <c r="A14" s="4">
        <f>IF($B14="","","PGT-"&amp;TEXT(ROW()-1,"0000"))</f>
        <v/>
      </c>
      <c r="B14" s="4" t="n"/>
      <c r="C14" s="5" t="n"/>
      <c r="D14" s="14" t="n"/>
      <c r="E14" s="4" t="n"/>
      <c r="F14" s="4">
        <f>IF($B14="","",INDEX(Financeiro!$A:$A,MATCH($B14,Financeiro!$D:$D,0)))</f>
        <v/>
      </c>
    </row>
    <row r="15">
      <c r="A15" s="4">
        <f>IF($B15="","","PGT-"&amp;TEXT(ROW()-1,"0000"))</f>
        <v/>
      </c>
      <c r="B15" s="4" t="n"/>
      <c r="C15" s="5" t="n"/>
      <c r="D15" s="14" t="n"/>
      <c r="E15" s="4" t="n"/>
      <c r="F15" s="4">
        <f>IF($B15="","",INDEX(Financeiro!$A:$A,MATCH($B15,Financeiro!$D:$D,0)))</f>
        <v/>
      </c>
    </row>
    <row r="16">
      <c r="A16" s="4">
        <f>IF($B16="","","PGT-"&amp;TEXT(ROW()-1,"0000"))</f>
        <v/>
      </c>
      <c r="B16" s="4" t="n"/>
      <c r="C16" s="5" t="n"/>
      <c r="D16" s="14" t="n"/>
      <c r="E16" s="4" t="n"/>
      <c r="F16" s="4">
        <f>IF($B16="","",INDEX(Financeiro!$A:$A,MATCH($B16,Financeiro!$D:$D,0)))</f>
        <v/>
      </c>
    </row>
    <row r="17">
      <c r="A17" s="4">
        <f>IF($B17="","","PGT-"&amp;TEXT(ROW()-1,"0000"))</f>
        <v/>
      </c>
      <c r="B17" s="4" t="n"/>
      <c r="C17" s="5" t="n"/>
      <c r="D17" s="14" t="n"/>
      <c r="E17" s="4" t="n"/>
      <c r="F17" s="4">
        <f>IF($B17="","",INDEX(Financeiro!$A:$A,MATCH($B17,Financeiro!$D:$D,0)))</f>
        <v/>
      </c>
    </row>
    <row r="18">
      <c r="A18" s="4">
        <f>IF($B18="","","PGT-"&amp;TEXT(ROW()-1,"0000"))</f>
        <v/>
      </c>
      <c r="B18" s="4" t="n"/>
      <c r="C18" s="5" t="n"/>
      <c r="D18" s="14" t="n"/>
      <c r="E18" s="4" t="n"/>
      <c r="F18" s="4">
        <f>IF($B18="","",INDEX(Financeiro!$A:$A,MATCH($B18,Financeiro!$D:$D,0)))</f>
        <v/>
      </c>
    </row>
    <row r="19">
      <c r="A19" s="4">
        <f>IF($B19="","","PGT-"&amp;TEXT(ROW()-1,"0000"))</f>
        <v/>
      </c>
      <c r="B19" s="4" t="n"/>
      <c r="C19" s="5" t="n"/>
      <c r="D19" s="14" t="n"/>
      <c r="E19" s="4" t="n"/>
      <c r="F19" s="4">
        <f>IF($B19="","",INDEX(Financeiro!$A:$A,MATCH($B19,Financeiro!$D:$D,0)))</f>
        <v/>
      </c>
    </row>
    <row r="20">
      <c r="A20" s="4">
        <f>IF($B20="","","PGT-"&amp;TEXT(ROW()-1,"0000"))</f>
        <v/>
      </c>
      <c r="B20" s="4" t="n"/>
      <c r="C20" s="5" t="n"/>
      <c r="D20" s="14" t="n"/>
      <c r="E20" s="4" t="n"/>
      <c r="F20" s="4">
        <f>IF($B20="","",INDEX(Financeiro!$A:$A,MATCH($B20,Financeiro!$D:$D,0)))</f>
        <v/>
      </c>
    </row>
    <row r="21">
      <c r="A21" s="4">
        <f>IF($B21="","","PGT-"&amp;TEXT(ROW()-1,"0000"))</f>
        <v/>
      </c>
      <c r="B21" s="4" t="n"/>
      <c r="C21" s="5" t="n"/>
      <c r="D21" s="14" t="n"/>
      <c r="E21" s="4" t="n"/>
      <c r="F21" s="4">
        <f>IF($B21="","",INDEX(Financeiro!$A:$A,MATCH($B21,Financeiro!$D:$D,0)))</f>
        <v/>
      </c>
    </row>
    <row r="22">
      <c r="A22" s="4">
        <f>IF($B22="","","PGT-"&amp;TEXT(ROW()-1,"0000"))</f>
        <v/>
      </c>
      <c r="B22" s="4" t="n"/>
      <c r="C22" s="5" t="n"/>
      <c r="D22" s="14" t="n"/>
      <c r="E22" s="4" t="n"/>
      <c r="F22" s="4">
        <f>IF($B22="","",INDEX(Financeiro!$A:$A,MATCH($B22,Financeiro!$D:$D,0)))</f>
        <v/>
      </c>
    </row>
    <row r="23">
      <c r="A23" s="4">
        <f>IF($B23="","","PGT-"&amp;TEXT(ROW()-1,"0000"))</f>
        <v/>
      </c>
      <c r="B23" s="4" t="n"/>
      <c r="C23" s="5" t="n"/>
      <c r="D23" s="14" t="n"/>
      <c r="E23" s="4" t="n"/>
      <c r="F23" s="4">
        <f>IF($B23="","",INDEX(Financeiro!$A:$A,MATCH($B23,Financeiro!$D:$D,0)))</f>
        <v/>
      </c>
    </row>
    <row r="24">
      <c r="A24" s="4">
        <f>IF($B24="","","PGT-"&amp;TEXT(ROW()-1,"0000"))</f>
        <v/>
      </c>
      <c r="B24" s="4" t="n"/>
      <c r="C24" s="5" t="n"/>
      <c r="D24" s="14" t="n"/>
      <c r="E24" s="4" t="n"/>
      <c r="F24" s="4">
        <f>IF($B24="","",INDEX(Financeiro!$A:$A,MATCH($B24,Financeiro!$D:$D,0)))</f>
        <v/>
      </c>
    </row>
    <row r="25">
      <c r="A25" s="4">
        <f>IF($B25="","","PGT-"&amp;TEXT(ROW()-1,"0000"))</f>
        <v/>
      </c>
      <c r="B25" s="4" t="n"/>
      <c r="C25" s="5" t="n"/>
      <c r="D25" s="14" t="n"/>
      <c r="E25" s="4" t="n"/>
      <c r="F25" s="4">
        <f>IF($B25="","",INDEX(Financeiro!$A:$A,MATCH($B25,Financeiro!$D:$D,0)))</f>
        <v/>
      </c>
    </row>
    <row r="26">
      <c r="A26" s="4">
        <f>IF($B26="","","PGT-"&amp;TEXT(ROW()-1,"0000"))</f>
        <v/>
      </c>
      <c r="B26" s="4" t="n"/>
      <c r="C26" s="5" t="n"/>
      <c r="D26" s="14" t="n"/>
      <c r="E26" s="4" t="n"/>
      <c r="F26" s="4">
        <f>IF($B26="","",INDEX(Financeiro!$A:$A,MATCH($B26,Financeiro!$D:$D,0)))</f>
        <v/>
      </c>
    </row>
    <row r="27">
      <c r="A27" s="4">
        <f>IF($B27="","","PGT-"&amp;TEXT(ROW()-1,"0000"))</f>
        <v/>
      </c>
      <c r="B27" s="4" t="n"/>
      <c r="C27" s="5" t="n"/>
      <c r="D27" s="14" t="n"/>
      <c r="E27" s="4" t="n"/>
      <c r="F27" s="4">
        <f>IF($B27="","",INDEX(Financeiro!$A:$A,MATCH($B27,Financeiro!$D:$D,0)))</f>
        <v/>
      </c>
    </row>
    <row r="28">
      <c r="A28" s="4">
        <f>IF($B28="","","PGT-"&amp;TEXT(ROW()-1,"0000"))</f>
        <v/>
      </c>
      <c r="B28" s="4" t="n"/>
      <c r="C28" s="5" t="n"/>
      <c r="D28" s="14" t="n"/>
      <c r="E28" s="4" t="n"/>
      <c r="F28" s="4">
        <f>IF($B28="","",INDEX(Financeiro!$A:$A,MATCH($B28,Financeiro!$D:$D,0)))</f>
        <v/>
      </c>
    </row>
    <row r="29">
      <c r="A29" s="4">
        <f>IF($B29="","","PGT-"&amp;TEXT(ROW()-1,"0000"))</f>
        <v/>
      </c>
      <c r="B29" s="4" t="n"/>
      <c r="C29" s="5" t="n"/>
      <c r="D29" s="14" t="n"/>
      <c r="E29" s="4" t="n"/>
      <c r="F29" s="4">
        <f>IF($B29="","",INDEX(Financeiro!$A:$A,MATCH($B29,Financeiro!$D:$D,0)))</f>
        <v/>
      </c>
    </row>
    <row r="30">
      <c r="A30" s="4">
        <f>IF($B30="","","PGT-"&amp;TEXT(ROW()-1,"0000"))</f>
        <v/>
      </c>
      <c r="B30" s="4" t="n"/>
      <c r="C30" s="5" t="n"/>
      <c r="D30" s="14" t="n"/>
      <c r="E30" s="4" t="n"/>
      <c r="F30" s="4">
        <f>IF($B30="","",INDEX(Financeiro!$A:$A,MATCH($B30,Financeiro!$D:$D,0)))</f>
        <v/>
      </c>
    </row>
    <row r="31">
      <c r="A31" s="4">
        <f>IF($B31="","","PGT-"&amp;TEXT(ROW()-1,"0000"))</f>
        <v/>
      </c>
      <c r="B31" s="4" t="n"/>
      <c r="C31" s="5" t="n"/>
      <c r="D31" s="14" t="n"/>
      <c r="E31" s="4" t="n"/>
      <c r="F31" s="4">
        <f>IF($B31="","",INDEX(Financeiro!$A:$A,MATCH($B31,Financeiro!$D:$D,0)))</f>
        <v/>
      </c>
    </row>
  </sheetData>
  <dataValidations count="2">
    <dataValidation sqref="B2:B31" showDropDown="0" showInputMessage="0" showErrorMessage="1" allowBlank="1" errorTitle="Lançamento inválido" error="Selecione um lançamento já cadastrado na aba Financeiro." type="list">
      <formula1>Lista_Financeiro_Descricoes</formula1>
    </dataValidation>
    <dataValidation sqref="D2:D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6" customWidth="1" min="2" max="2"/>
    <col width="14" customWidth="1" min="3" max="3"/>
    <col width="34" customWidth="1" min="4" max="4"/>
    <col width="20" customWidth="1" min="5" max="5"/>
    <col width="20" customWidth="1" min="6" max="6"/>
    <col width="18" customWidth="1" min="7" max="7"/>
    <col width="22" customWidth="1" min="8" max="8"/>
    <col hidden="1" width="16" customWidth="1" min="9" max="9"/>
  </cols>
  <sheetData>
    <row r="1" ht="30" customHeight="1">
      <c r="A1" s="9" t="inlineStr">
        <is>
          <t>ID (técnico)</t>
        </is>
      </c>
      <c r="B1" s="9" t="inlineStr">
        <is>
          <t>Tipo</t>
        </is>
      </c>
      <c r="C1" s="9" t="inlineStr">
        <is>
          <t>Data</t>
        </is>
      </c>
      <c r="D1" s="9" t="inlineStr">
        <is>
          <t>Descrição</t>
        </is>
      </c>
      <c r="E1" s="9" t="inlineStr">
        <is>
          <t>Impacto no Orçamento</t>
        </is>
      </c>
      <c r="F1" s="9" t="inlineStr">
        <is>
          <t>Impacto no Prazo (dias)</t>
        </is>
      </c>
      <c r="G1" s="9" t="inlineStr">
        <is>
          <t>Status de Aprovação</t>
        </is>
      </c>
      <c r="H1" s="9" t="inlineStr">
        <is>
          <t>Solicitante</t>
        </is>
      </c>
      <c r="I1" s="9" t="inlineStr">
        <is>
          <t>ID_Obra (técnico)</t>
        </is>
      </c>
    </row>
    <row r="2">
      <c r="A2" s="4">
        <f>IF($D2="","","ALT-"&amp;TEXT(ROW()-1,"0000"))</f>
        <v/>
      </c>
      <c r="B2" s="4" t="n"/>
      <c r="C2" s="5" t="n"/>
      <c r="D2" s="4" t="n"/>
      <c r="E2" s="14" t="n"/>
      <c r="F2" s="4" t="n"/>
      <c r="G2" s="4" t="n"/>
      <c r="H2" s="4" t="n"/>
      <c r="I2" s="4">
        <f>IF($D2="","",Base_Dados!$B$2)</f>
        <v/>
      </c>
    </row>
    <row r="3">
      <c r="A3" s="4">
        <f>IF($D3="","","ALT-"&amp;TEXT(ROW()-1,"0000"))</f>
        <v/>
      </c>
      <c r="B3" s="4" t="n"/>
      <c r="C3" s="5" t="n"/>
      <c r="D3" s="4" t="n"/>
      <c r="E3" s="14" t="n"/>
      <c r="F3" s="4" t="n"/>
      <c r="G3" s="4" t="n"/>
      <c r="H3" s="4" t="n"/>
      <c r="I3" s="4">
        <f>IF($D3="","",Base_Dados!$B$2)</f>
        <v/>
      </c>
    </row>
    <row r="4">
      <c r="A4" s="4">
        <f>IF($D4="","","ALT-"&amp;TEXT(ROW()-1,"0000"))</f>
        <v/>
      </c>
      <c r="B4" s="4" t="n"/>
      <c r="C4" s="5" t="n"/>
      <c r="D4" s="4" t="n"/>
      <c r="E4" s="14" t="n"/>
      <c r="F4" s="4" t="n"/>
      <c r="G4" s="4" t="n"/>
      <c r="H4" s="4" t="n"/>
      <c r="I4" s="4">
        <f>IF($D4="","",Base_Dados!$B$2)</f>
        <v/>
      </c>
    </row>
    <row r="5">
      <c r="A5" s="4">
        <f>IF($D5="","","ALT-"&amp;TEXT(ROW()-1,"0000"))</f>
        <v/>
      </c>
      <c r="B5" s="4" t="n"/>
      <c r="C5" s="5" t="n"/>
      <c r="D5" s="4" t="n"/>
      <c r="E5" s="14" t="n"/>
      <c r="F5" s="4" t="n"/>
      <c r="G5" s="4" t="n"/>
      <c r="H5" s="4" t="n"/>
      <c r="I5" s="4">
        <f>IF($D5="","",Base_Dados!$B$2)</f>
        <v/>
      </c>
    </row>
    <row r="6">
      <c r="A6" s="4">
        <f>IF($D6="","","ALT-"&amp;TEXT(ROW()-1,"0000"))</f>
        <v/>
      </c>
      <c r="B6" s="4" t="n"/>
      <c r="C6" s="5" t="n"/>
      <c r="D6" s="4" t="n"/>
      <c r="E6" s="14" t="n"/>
      <c r="F6" s="4" t="n"/>
      <c r="G6" s="4" t="n"/>
      <c r="H6" s="4" t="n"/>
      <c r="I6" s="4">
        <f>IF($D6="","",Base_Dados!$B$2)</f>
        <v/>
      </c>
    </row>
    <row r="7">
      <c r="A7" s="4">
        <f>IF($D7="","","ALT-"&amp;TEXT(ROW()-1,"0000"))</f>
        <v/>
      </c>
      <c r="B7" s="4" t="n"/>
      <c r="C7" s="5" t="n"/>
      <c r="D7" s="4" t="n"/>
      <c r="E7" s="14" t="n"/>
      <c r="F7" s="4" t="n"/>
      <c r="G7" s="4" t="n"/>
      <c r="H7" s="4" t="n"/>
      <c r="I7" s="4">
        <f>IF($D7="","",Base_Dados!$B$2)</f>
        <v/>
      </c>
    </row>
    <row r="8">
      <c r="A8" s="4">
        <f>IF($D8="","","ALT-"&amp;TEXT(ROW()-1,"0000"))</f>
        <v/>
      </c>
      <c r="B8" s="4" t="n"/>
      <c r="C8" s="5" t="n"/>
      <c r="D8" s="4" t="n"/>
      <c r="E8" s="14" t="n"/>
      <c r="F8" s="4" t="n"/>
      <c r="G8" s="4" t="n"/>
      <c r="H8" s="4" t="n"/>
      <c r="I8" s="4">
        <f>IF($D8="","",Base_Dados!$B$2)</f>
        <v/>
      </c>
    </row>
    <row r="9">
      <c r="A9" s="4">
        <f>IF($D9="","","ALT-"&amp;TEXT(ROW()-1,"0000"))</f>
        <v/>
      </c>
      <c r="B9" s="4" t="n"/>
      <c r="C9" s="5" t="n"/>
      <c r="D9" s="4" t="n"/>
      <c r="E9" s="14" t="n"/>
      <c r="F9" s="4" t="n"/>
      <c r="G9" s="4" t="n"/>
      <c r="H9" s="4" t="n"/>
      <c r="I9" s="4">
        <f>IF($D9="","",Base_Dados!$B$2)</f>
        <v/>
      </c>
    </row>
    <row r="10">
      <c r="A10" s="4">
        <f>IF($D10="","","ALT-"&amp;TEXT(ROW()-1,"0000"))</f>
        <v/>
      </c>
      <c r="B10" s="4" t="n"/>
      <c r="C10" s="5" t="n"/>
      <c r="D10" s="4" t="n"/>
      <c r="E10" s="14" t="n"/>
      <c r="F10" s="4" t="n"/>
      <c r="G10" s="4" t="n"/>
      <c r="H10" s="4" t="n"/>
      <c r="I10" s="4">
        <f>IF($D10="","",Base_Dados!$B$2)</f>
        <v/>
      </c>
    </row>
    <row r="11">
      <c r="A11" s="4">
        <f>IF($D11="","","ALT-"&amp;TEXT(ROW()-1,"0000"))</f>
        <v/>
      </c>
      <c r="B11" s="4" t="n"/>
      <c r="C11" s="5" t="n"/>
      <c r="D11" s="4" t="n"/>
      <c r="E11" s="14" t="n"/>
      <c r="F11" s="4" t="n"/>
      <c r="G11" s="4" t="n"/>
      <c r="H11" s="4" t="n"/>
      <c r="I11" s="4">
        <f>IF($D11="","",Base_Dados!$B$2)</f>
        <v/>
      </c>
    </row>
    <row r="12">
      <c r="A12" s="4">
        <f>IF($D12="","","ALT-"&amp;TEXT(ROW()-1,"0000"))</f>
        <v/>
      </c>
      <c r="B12" s="4" t="n"/>
      <c r="C12" s="5" t="n"/>
      <c r="D12" s="4" t="n"/>
      <c r="E12" s="14" t="n"/>
      <c r="F12" s="4" t="n"/>
      <c r="G12" s="4" t="n"/>
      <c r="H12" s="4" t="n"/>
      <c r="I12" s="4">
        <f>IF($D12="","",Base_Dados!$B$2)</f>
        <v/>
      </c>
    </row>
    <row r="13">
      <c r="A13" s="4">
        <f>IF($D13="","","ALT-"&amp;TEXT(ROW()-1,"0000"))</f>
        <v/>
      </c>
      <c r="B13" s="4" t="n"/>
      <c r="C13" s="5" t="n"/>
      <c r="D13" s="4" t="n"/>
      <c r="E13" s="14" t="n"/>
      <c r="F13" s="4" t="n"/>
      <c r="G13" s="4" t="n"/>
      <c r="H13" s="4" t="n"/>
      <c r="I13" s="4">
        <f>IF($D13="","",Base_Dados!$B$2)</f>
        <v/>
      </c>
    </row>
    <row r="14">
      <c r="A14" s="4">
        <f>IF($D14="","","ALT-"&amp;TEXT(ROW()-1,"0000"))</f>
        <v/>
      </c>
      <c r="B14" s="4" t="n"/>
      <c r="C14" s="5" t="n"/>
      <c r="D14" s="4" t="n"/>
      <c r="E14" s="14" t="n"/>
      <c r="F14" s="4" t="n"/>
      <c r="G14" s="4" t="n"/>
      <c r="H14" s="4" t="n"/>
      <c r="I14" s="4">
        <f>IF($D14="","",Base_Dados!$B$2)</f>
        <v/>
      </c>
    </row>
    <row r="15">
      <c r="A15" s="4">
        <f>IF($D15="","","ALT-"&amp;TEXT(ROW()-1,"0000"))</f>
        <v/>
      </c>
      <c r="B15" s="4" t="n"/>
      <c r="C15" s="5" t="n"/>
      <c r="D15" s="4" t="n"/>
      <c r="E15" s="14" t="n"/>
      <c r="F15" s="4" t="n"/>
      <c r="G15" s="4" t="n"/>
      <c r="H15" s="4" t="n"/>
      <c r="I15" s="4">
        <f>IF($D15="","",Base_Dados!$B$2)</f>
        <v/>
      </c>
    </row>
    <row r="16">
      <c r="A16" s="4">
        <f>IF($D16="","","ALT-"&amp;TEXT(ROW()-1,"0000"))</f>
        <v/>
      </c>
      <c r="B16" s="4" t="n"/>
      <c r="C16" s="5" t="n"/>
      <c r="D16" s="4" t="n"/>
      <c r="E16" s="14" t="n"/>
      <c r="F16" s="4" t="n"/>
      <c r="G16" s="4" t="n"/>
      <c r="H16" s="4" t="n"/>
      <c r="I16" s="4">
        <f>IF($D16="","",Base_Dados!$B$2)</f>
        <v/>
      </c>
    </row>
    <row r="17">
      <c r="A17" s="4">
        <f>IF($D17="","","ALT-"&amp;TEXT(ROW()-1,"0000"))</f>
        <v/>
      </c>
      <c r="B17" s="4" t="n"/>
      <c r="C17" s="5" t="n"/>
      <c r="D17" s="4" t="n"/>
      <c r="E17" s="14" t="n"/>
      <c r="F17" s="4" t="n"/>
      <c r="G17" s="4" t="n"/>
      <c r="H17" s="4" t="n"/>
      <c r="I17" s="4">
        <f>IF($D17="","",Base_Dados!$B$2)</f>
        <v/>
      </c>
    </row>
    <row r="18">
      <c r="A18" s="4">
        <f>IF($D18="","","ALT-"&amp;TEXT(ROW()-1,"0000"))</f>
        <v/>
      </c>
      <c r="B18" s="4" t="n"/>
      <c r="C18" s="5" t="n"/>
      <c r="D18" s="4" t="n"/>
      <c r="E18" s="14" t="n"/>
      <c r="F18" s="4" t="n"/>
      <c r="G18" s="4" t="n"/>
      <c r="H18" s="4" t="n"/>
      <c r="I18" s="4">
        <f>IF($D18="","",Base_Dados!$B$2)</f>
        <v/>
      </c>
    </row>
    <row r="19">
      <c r="A19" s="4">
        <f>IF($D19="","","ALT-"&amp;TEXT(ROW()-1,"0000"))</f>
        <v/>
      </c>
      <c r="B19" s="4" t="n"/>
      <c r="C19" s="5" t="n"/>
      <c r="D19" s="4" t="n"/>
      <c r="E19" s="14" t="n"/>
      <c r="F19" s="4" t="n"/>
      <c r="G19" s="4" t="n"/>
      <c r="H19" s="4" t="n"/>
      <c r="I19" s="4">
        <f>IF($D19="","",Base_Dados!$B$2)</f>
        <v/>
      </c>
    </row>
    <row r="20">
      <c r="A20" s="4">
        <f>IF($D20="","","ALT-"&amp;TEXT(ROW()-1,"0000"))</f>
        <v/>
      </c>
      <c r="B20" s="4" t="n"/>
      <c r="C20" s="5" t="n"/>
      <c r="D20" s="4" t="n"/>
      <c r="E20" s="14" t="n"/>
      <c r="F20" s="4" t="n"/>
      <c r="G20" s="4" t="n"/>
      <c r="H20" s="4" t="n"/>
      <c r="I20" s="4">
        <f>IF($D20="","",Base_Dados!$B$2)</f>
        <v/>
      </c>
    </row>
    <row r="21">
      <c r="A21" s="4">
        <f>IF($D21="","","ALT-"&amp;TEXT(ROW()-1,"0000"))</f>
        <v/>
      </c>
      <c r="B21" s="4" t="n"/>
      <c r="C21" s="5" t="n"/>
      <c r="D21" s="4" t="n"/>
      <c r="E21" s="14" t="n"/>
      <c r="F21" s="4" t="n"/>
      <c r="G21" s="4" t="n"/>
      <c r="H21" s="4" t="n"/>
      <c r="I21" s="4">
        <f>IF($D21="","",Base_Dados!$B$2)</f>
        <v/>
      </c>
    </row>
    <row r="22">
      <c r="A22" s="4">
        <f>IF($D22="","","ALT-"&amp;TEXT(ROW()-1,"0000"))</f>
        <v/>
      </c>
      <c r="B22" s="4" t="n"/>
      <c r="C22" s="5" t="n"/>
      <c r="D22" s="4" t="n"/>
      <c r="E22" s="14" t="n"/>
      <c r="F22" s="4" t="n"/>
      <c r="G22" s="4" t="n"/>
      <c r="H22" s="4" t="n"/>
      <c r="I22" s="4">
        <f>IF($D22="","",Base_Dados!$B$2)</f>
        <v/>
      </c>
    </row>
    <row r="23">
      <c r="A23" s="4">
        <f>IF($D23="","","ALT-"&amp;TEXT(ROW()-1,"0000"))</f>
        <v/>
      </c>
      <c r="B23" s="4" t="n"/>
      <c r="C23" s="5" t="n"/>
      <c r="D23" s="4" t="n"/>
      <c r="E23" s="14" t="n"/>
      <c r="F23" s="4" t="n"/>
      <c r="G23" s="4" t="n"/>
      <c r="H23" s="4" t="n"/>
      <c r="I23" s="4">
        <f>IF($D23="","",Base_Dados!$B$2)</f>
        <v/>
      </c>
    </row>
    <row r="24">
      <c r="A24" s="4">
        <f>IF($D24="","","ALT-"&amp;TEXT(ROW()-1,"0000"))</f>
        <v/>
      </c>
      <c r="B24" s="4" t="n"/>
      <c r="C24" s="5" t="n"/>
      <c r="D24" s="4" t="n"/>
      <c r="E24" s="14" t="n"/>
      <c r="F24" s="4" t="n"/>
      <c r="G24" s="4" t="n"/>
      <c r="H24" s="4" t="n"/>
      <c r="I24" s="4">
        <f>IF($D24="","",Base_Dados!$B$2)</f>
        <v/>
      </c>
    </row>
    <row r="25">
      <c r="A25" s="4">
        <f>IF($D25="","","ALT-"&amp;TEXT(ROW()-1,"0000"))</f>
        <v/>
      </c>
      <c r="B25" s="4" t="n"/>
      <c r="C25" s="5" t="n"/>
      <c r="D25" s="4" t="n"/>
      <c r="E25" s="14" t="n"/>
      <c r="F25" s="4" t="n"/>
      <c r="G25" s="4" t="n"/>
      <c r="H25" s="4" t="n"/>
      <c r="I25" s="4">
        <f>IF($D25="","",Base_Dados!$B$2)</f>
        <v/>
      </c>
    </row>
    <row r="26">
      <c r="A26" s="4">
        <f>IF($D26="","","ALT-"&amp;TEXT(ROW()-1,"0000"))</f>
        <v/>
      </c>
      <c r="B26" s="4" t="n"/>
      <c r="C26" s="5" t="n"/>
      <c r="D26" s="4" t="n"/>
      <c r="E26" s="14" t="n"/>
      <c r="F26" s="4" t="n"/>
      <c r="G26" s="4" t="n"/>
      <c r="H26" s="4" t="n"/>
      <c r="I26" s="4">
        <f>IF($D26="","",Base_Dados!$B$2)</f>
        <v/>
      </c>
    </row>
    <row r="27">
      <c r="A27" s="4">
        <f>IF($D27="","","ALT-"&amp;TEXT(ROW()-1,"0000"))</f>
        <v/>
      </c>
      <c r="B27" s="4" t="n"/>
      <c r="C27" s="5" t="n"/>
      <c r="D27" s="4" t="n"/>
      <c r="E27" s="14" t="n"/>
      <c r="F27" s="4" t="n"/>
      <c r="G27" s="4" t="n"/>
      <c r="H27" s="4" t="n"/>
      <c r="I27" s="4">
        <f>IF($D27="","",Base_Dados!$B$2)</f>
        <v/>
      </c>
    </row>
    <row r="28">
      <c r="A28" s="4">
        <f>IF($D28="","","ALT-"&amp;TEXT(ROW()-1,"0000"))</f>
        <v/>
      </c>
      <c r="B28" s="4" t="n"/>
      <c r="C28" s="5" t="n"/>
      <c r="D28" s="4" t="n"/>
      <c r="E28" s="14" t="n"/>
      <c r="F28" s="4" t="n"/>
      <c r="G28" s="4" t="n"/>
      <c r="H28" s="4" t="n"/>
      <c r="I28" s="4">
        <f>IF($D28="","",Base_Dados!$B$2)</f>
        <v/>
      </c>
    </row>
    <row r="29">
      <c r="A29" s="4">
        <f>IF($D29="","","ALT-"&amp;TEXT(ROW()-1,"0000"))</f>
        <v/>
      </c>
      <c r="B29" s="4" t="n"/>
      <c r="C29" s="5" t="n"/>
      <c r="D29" s="4" t="n"/>
      <c r="E29" s="14" t="n"/>
      <c r="F29" s="4" t="n"/>
      <c r="G29" s="4" t="n"/>
      <c r="H29" s="4" t="n"/>
      <c r="I29" s="4">
        <f>IF($D29="","",Base_Dados!$B$2)</f>
        <v/>
      </c>
    </row>
    <row r="30">
      <c r="A30" s="4">
        <f>IF($D30="","","ALT-"&amp;TEXT(ROW()-1,"0000"))</f>
        <v/>
      </c>
      <c r="B30" s="4" t="n"/>
      <c r="C30" s="5" t="n"/>
      <c r="D30" s="4" t="n"/>
      <c r="E30" s="14" t="n"/>
      <c r="F30" s="4" t="n"/>
      <c r="G30" s="4" t="n"/>
      <c r="H30" s="4" t="n"/>
      <c r="I30" s="4">
        <f>IF($D30="","",Base_Dados!$B$2)</f>
        <v/>
      </c>
    </row>
    <row r="31">
      <c r="A31" s="4">
        <f>IF($D31="","","ALT-"&amp;TEXT(ROW()-1,"0000"))</f>
        <v/>
      </c>
      <c r="B31" s="4" t="n"/>
      <c r="C31" s="5" t="n"/>
      <c r="D31" s="4" t="n"/>
      <c r="E31" s="14" t="n"/>
      <c r="F31" s="4" t="n"/>
      <c r="G31" s="4" t="n"/>
      <c r="H31" s="4" t="n"/>
      <c r="I31" s="4">
        <f>IF($D31="","",Base_Dados!$B$2)</f>
        <v/>
      </c>
    </row>
  </sheetData>
  <dataValidations count="2">
    <dataValidation sqref="B2:B31" showDropDown="0" showInputMessage="0" showErrorMessage="1" allowBlank="1" errorTitle="Tipo inválido" error="Selecione um dos tipos oficiais: Escopo, Prazo, Orçamento." type="list">
      <formula1>"Escopo,Prazo,Orçamento"</formula1>
    </dataValidation>
    <dataValidation sqref="G2:G31" showDropDown="0" showInputMessage="0" showErrorMessage="1" allowBlank="1" errorTitle="Status inválido" error="Selecione um dos status oficiais: Em análise, Aprovada, Rejeitada, Cancelada." type="list">
      <formula1>"Em análise,Aprovada,Rejeitada,Cancelada"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4" customWidth="1" min="3" max="3"/>
    <col width="14" customWidth="1" min="4" max="4"/>
    <col width="16" customWidth="1" min="5" max="5"/>
    <col width="20" customWidth="1" min="6" max="6"/>
    <col width="18" customWidth="1" min="7" max="7"/>
    <col width="18" customWidth="1" min="8" max="8"/>
    <col width="24" customWidth="1" min="9" max="9"/>
    <col width="24" customWidth="1" min="10" max="10"/>
    <col width="28" customWidth="1" min="11" max="11"/>
    <col width="22" customWidth="1" min="12" max="12"/>
    <col width="16" customWidth="1" min="13" max="13"/>
    <col width="14" customWidth="1" min="14" max="14"/>
    <col width="30" customWidth="1" min="15" max="15"/>
    <col hidden="1" width="16" customWidth="1" min="16" max="16"/>
    <col hidden="1" width="16" customWidth="1" min="17" max="17"/>
    <col hidden="1" width="18" customWidth="1" min="18" max="18"/>
    <col hidden="1" width="18" customWidth="1" min="19" max="19"/>
  </cols>
  <sheetData>
    <row r="1" ht="30" customHeight="1">
      <c r="A1" s="9" t="inlineStr">
        <is>
          <t>ID (técnico)</t>
        </is>
      </c>
      <c r="B1" s="9" t="inlineStr">
        <is>
          <t>Descrição</t>
        </is>
      </c>
      <c r="C1" s="9" t="inlineStr">
        <is>
          <t>Fornecedor</t>
        </is>
      </c>
      <c r="D1" s="9" t="inlineStr">
        <is>
          <t>Data da Compra</t>
        </is>
      </c>
      <c r="E1" s="9" t="inlineStr">
        <is>
          <t>Valor</t>
        </is>
      </c>
      <c r="F1" s="9" t="inlineStr">
        <is>
          <t>Forma de Pagamento</t>
        </is>
      </c>
      <c r="G1" s="9" t="inlineStr">
        <is>
          <t>Status de Aprovação</t>
        </is>
      </c>
      <c r="H1" s="9" t="inlineStr">
        <is>
          <t>Status de Entrega</t>
        </is>
      </c>
      <c r="I1" s="9" t="inlineStr">
        <is>
          <t>Etapa (opcional)</t>
        </is>
      </c>
      <c r="J1" s="9" t="inlineStr">
        <is>
          <t>Subetapa (opcional)</t>
        </is>
      </c>
      <c r="K1" s="9" t="inlineStr">
        <is>
          <t>Serviço (opcional)</t>
        </is>
      </c>
      <c r="L1" s="9" t="inlineStr">
        <is>
          <t>Planejado (Valor Previsto)</t>
        </is>
      </c>
      <c r="M1" s="9" t="inlineStr">
        <is>
          <t>Variação R$</t>
        </is>
      </c>
      <c r="N1" s="9" t="inlineStr">
        <is>
          <t>Variação %</t>
        </is>
      </c>
      <c r="O1" s="9" t="inlineStr">
        <is>
          <t>Observação</t>
        </is>
      </c>
      <c r="P1" s="9" t="inlineStr">
        <is>
          <t>ID_Obra (técnico)</t>
        </is>
      </c>
      <c r="Q1" s="9" t="inlineStr">
        <is>
          <t>ID_Etapa (técnico)</t>
        </is>
      </c>
      <c r="R1" s="9" t="inlineStr">
        <is>
          <t>ID_Subetapa (técnico)</t>
        </is>
      </c>
      <c r="S1" s="9" t="inlineStr">
        <is>
          <t>ID_Servico (técnico)</t>
        </is>
      </c>
    </row>
    <row r="2">
      <c r="A2" s="4">
        <f>IF($B2="","","COM-"&amp;TEXT(ROW()-1,"0000"))</f>
        <v/>
      </c>
      <c r="B2" s="4" t="n"/>
      <c r="C2" s="4" t="n"/>
      <c r="D2" s="5" t="n"/>
      <c r="E2" s="14" t="n"/>
      <c r="F2" s="4" t="n"/>
      <c r="G2" s="4" t="n"/>
      <c r="H2" s="4" t="n"/>
      <c r="I2" s="4" t="n"/>
      <c r="J2" s="4" t="n"/>
      <c r="K2" s="4" t="n"/>
      <c r="L2" s="15">
        <f>IF($S2="","",INDEX(Serviços!$J:$J,MATCH($S2,Serviços!$A:$A,0)))</f>
        <v/>
      </c>
      <c r="M2" s="15">
        <f>IF(OR($L2="",$E2=""),"",$E2-$L2)</f>
        <v/>
      </c>
      <c r="N2" s="7">
        <f>IF(OR($L2="",$E2=""),"",IF($L2=0,"N/D",$M2/$L2))</f>
        <v/>
      </c>
      <c r="O2" s="4" t="n"/>
      <c r="P2" s="4">
        <f>IF($B2="","",Base_Dados!$B$2)</f>
        <v/>
      </c>
      <c r="Q2" s="4">
        <f>IF($I2="","",INDEX(Etapas!$A:$A,MATCH($I2,Etapas!$B:$B,0)))</f>
        <v/>
      </c>
      <c r="R2" s="4">
        <f>IF($J2="","",INDEX(Subetapas!$A:$A,MATCH($J2,Subetapas!$B:$B,0)))</f>
        <v/>
      </c>
      <c r="S2" s="4">
        <f>IF($K2="","",INDEX(Serviços!$A:$A,MATCH($K2,Serviços!$B:$B,0)))</f>
        <v/>
      </c>
    </row>
    <row r="3">
      <c r="A3" s="4">
        <f>IF($B3="","","COM-"&amp;TEXT(ROW()-1,"0000"))</f>
        <v/>
      </c>
      <c r="B3" s="4" t="n"/>
      <c r="C3" s="4" t="n"/>
      <c r="D3" s="5" t="n"/>
      <c r="E3" s="14" t="n"/>
      <c r="F3" s="4" t="n"/>
      <c r="G3" s="4" t="n"/>
      <c r="H3" s="4" t="n"/>
      <c r="I3" s="4" t="n"/>
      <c r="J3" s="4" t="n"/>
      <c r="K3" s="4" t="n"/>
      <c r="L3" s="15">
        <f>IF($S3="","",INDEX(Serviços!$J:$J,MATCH($S3,Serviços!$A:$A,0)))</f>
        <v/>
      </c>
      <c r="M3" s="15">
        <f>IF(OR($L3="",$E3=""),"",$E3-$L3)</f>
        <v/>
      </c>
      <c r="N3" s="7">
        <f>IF(OR($L3="",$E3=""),"",IF($L3=0,"N/D",$M3/$L3))</f>
        <v/>
      </c>
      <c r="O3" s="4" t="n"/>
      <c r="P3" s="4">
        <f>IF($B3="","",Base_Dados!$B$2)</f>
        <v/>
      </c>
      <c r="Q3" s="4">
        <f>IF($I3="","",INDEX(Etapas!$A:$A,MATCH($I3,Etapas!$B:$B,0)))</f>
        <v/>
      </c>
      <c r="R3" s="4">
        <f>IF($J3="","",INDEX(Subetapas!$A:$A,MATCH($J3,Subetapas!$B:$B,0)))</f>
        <v/>
      </c>
      <c r="S3" s="4">
        <f>IF($K3="","",INDEX(Serviços!$A:$A,MATCH($K3,Serviços!$B:$B,0)))</f>
        <v/>
      </c>
    </row>
    <row r="4">
      <c r="A4" s="4">
        <f>IF($B4="","","COM-"&amp;TEXT(ROW()-1,"0000"))</f>
        <v/>
      </c>
      <c r="B4" s="4" t="n"/>
      <c r="C4" s="4" t="n"/>
      <c r="D4" s="5" t="n"/>
      <c r="E4" s="14" t="n"/>
      <c r="F4" s="4" t="n"/>
      <c r="G4" s="4" t="n"/>
      <c r="H4" s="4" t="n"/>
      <c r="I4" s="4" t="n"/>
      <c r="J4" s="4" t="n"/>
      <c r="K4" s="4" t="n"/>
      <c r="L4" s="15">
        <f>IF($S4="","",INDEX(Serviços!$J:$J,MATCH($S4,Serviços!$A:$A,0)))</f>
        <v/>
      </c>
      <c r="M4" s="15">
        <f>IF(OR($L4="",$E4=""),"",$E4-$L4)</f>
        <v/>
      </c>
      <c r="N4" s="7">
        <f>IF(OR($L4="",$E4=""),"",IF($L4=0,"N/D",$M4/$L4))</f>
        <v/>
      </c>
      <c r="O4" s="4" t="n"/>
      <c r="P4" s="4">
        <f>IF($B4="","",Base_Dados!$B$2)</f>
        <v/>
      </c>
      <c r="Q4" s="4">
        <f>IF($I4="","",INDEX(Etapas!$A:$A,MATCH($I4,Etapas!$B:$B,0)))</f>
        <v/>
      </c>
      <c r="R4" s="4">
        <f>IF($J4="","",INDEX(Subetapas!$A:$A,MATCH($J4,Subetapas!$B:$B,0)))</f>
        <v/>
      </c>
      <c r="S4" s="4">
        <f>IF($K4="","",INDEX(Serviços!$A:$A,MATCH($K4,Serviços!$B:$B,0)))</f>
        <v/>
      </c>
    </row>
    <row r="5">
      <c r="A5" s="4">
        <f>IF($B5="","","COM-"&amp;TEXT(ROW()-1,"0000"))</f>
        <v/>
      </c>
      <c r="B5" s="4" t="n"/>
      <c r="C5" s="4" t="n"/>
      <c r="D5" s="5" t="n"/>
      <c r="E5" s="14" t="n"/>
      <c r="F5" s="4" t="n"/>
      <c r="G5" s="4" t="n"/>
      <c r="H5" s="4" t="n"/>
      <c r="I5" s="4" t="n"/>
      <c r="J5" s="4" t="n"/>
      <c r="K5" s="4" t="n"/>
      <c r="L5" s="15">
        <f>IF($S5="","",INDEX(Serviços!$J:$J,MATCH($S5,Serviços!$A:$A,0)))</f>
        <v/>
      </c>
      <c r="M5" s="15">
        <f>IF(OR($L5="",$E5=""),"",$E5-$L5)</f>
        <v/>
      </c>
      <c r="N5" s="7">
        <f>IF(OR($L5="",$E5=""),"",IF($L5=0,"N/D",$M5/$L5))</f>
        <v/>
      </c>
      <c r="O5" s="4" t="n"/>
      <c r="P5" s="4">
        <f>IF($B5="","",Base_Dados!$B$2)</f>
        <v/>
      </c>
      <c r="Q5" s="4">
        <f>IF($I5="","",INDEX(Etapas!$A:$A,MATCH($I5,Etapas!$B:$B,0)))</f>
        <v/>
      </c>
      <c r="R5" s="4">
        <f>IF($J5="","",INDEX(Subetapas!$A:$A,MATCH($J5,Subetapas!$B:$B,0)))</f>
        <v/>
      </c>
      <c r="S5" s="4">
        <f>IF($K5="","",INDEX(Serviços!$A:$A,MATCH($K5,Serviços!$B:$B,0)))</f>
        <v/>
      </c>
    </row>
    <row r="6">
      <c r="A6" s="4">
        <f>IF($B6="","","COM-"&amp;TEXT(ROW()-1,"0000"))</f>
        <v/>
      </c>
      <c r="B6" s="4" t="n"/>
      <c r="C6" s="4" t="n"/>
      <c r="D6" s="5" t="n"/>
      <c r="E6" s="14" t="n"/>
      <c r="F6" s="4" t="n"/>
      <c r="G6" s="4" t="n"/>
      <c r="H6" s="4" t="n"/>
      <c r="I6" s="4" t="n"/>
      <c r="J6" s="4" t="n"/>
      <c r="K6" s="4" t="n"/>
      <c r="L6" s="15">
        <f>IF($S6="","",INDEX(Serviços!$J:$J,MATCH($S6,Serviços!$A:$A,0)))</f>
        <v/>
      </c>
      <c r="M6" s="15">
        <f>IF(OR($L6="",$E6=""),"",$E6-$L6)</f>
        <v/>
      </c>
      <c r="N6" s="7">
        <f>IF(OR($L6="",$E6=""),"",IF($L6=0,"N/D",$M6/$L6))</f>
        <v/>
      </c>
      <c r="O6" s="4" t="n"/>
      <c r="P6" s="4">
        <f>IF($B6="","",Base_Dados!$B$2)</f>
        <v/>
      </c>
      <c r="Q6" s="4">
        <f>IF($I6="","",INDEX(Etapas!$A:$A,MATCH($I6,Etapas!$B:$B,0)))</f>
        <v/>
      </c>
      <c r="R6" s="4">
        <f>IF($J6="","",INDEX(Subetapas!$A:$A,MATCH($J6,Subetapas!$B:$B,0)))</f>
        <v/>
      </c>
      <c r="S6" s="4">
        <f>IF($K6="","",INDEX(Serviços!$A:$A,MATCH($K6,Serviços!$B:$B,0)))</f>
        <v/>
      </c>
    </row>
    <row r="7">
      <c r="A7" s="4">
        <f>IF($B7="","","COM-"&amp;TEXT(ROW()-1,"0000"))</f>
        <v/>
      </c>
      <c r="B7" s="4" t="n"/>
      <c r="C7" s="4" t="n"/>
      <c r="D7" s="5" t="n"/>
      <c r="E7" s="14" t="n"/>
      <c r="F7" s="4" t="n"/>
      <c r="G7" s="4" t="n"/>
      <c r="H7" s="4" t="n"/>
      <c r="I7" s="4" t="n"/>
      <c r="J7" s="4" t="n"/>
      <c r="K7" s="4" t="n"/>
      <c r="L7" s="15">
        <f>IF($S7="","",INDEX(Serviços!$J:$J,MATCH($S7,Serviços!$A:$A,0)))</f>
        <v/>
      </c>
      <c r="M7" s="15">
        <f>IF(OR($L7="",$E7=""),"",$E7-$L7)</f>
        <v/>
      </c>
      <c r="N7" s="7">
        <f>IF(OR($L7="",$E7=""),"",IF($L7=0,"N/D",$M7/$L7))</f>
        <v/>
      </c>
      <c r="O7" s="4" t="n"/>
      <c r="P7" s="4">
        <f>IF($B7="","",Base_Dados!$B$2)</f>
        <v/>
      </c>
      <c r="Q7" s="4">
        <f>IF($I7="","",INDEX(Etapas!$A:$A,MATCH($I7,Etapas!$B:$B,0)))</f>
        <v/>
      </c>
      <c r="R7" s="4">
        <f>IF($J7="","",INDEX(Subetapas!$A:$A,MATCH($J7,Subetapas!$B:$B,0)))</f>
        <v/>
      </c>
      <c r="S7" s="4">
        <f>IF($K7="","",INDEX(Serviços!$A:$A,MATCH($K7,Serviços!$B:$B,0)))</f>
        <v/>
      </c>
    </row>
    <row r="8">
      <c r="A8" s="4">
        <f>IF($B8="","","COM-"&amp;TEXT(ROW()-1,"0000"))</f>
        <v/>
      </c>
      <c r="B8" s="4" t="n"/>
      <c r="C8" s="4" t="n"/>
      <c r="D8" s="5" t="n"/>
      <c r="E8" s="14" t="n"/>
      <c r="F8" s="4" t="n"/>
      <c r="G8" s="4" t="n"/>
      <c r="H8" s="4" t="n"/>
      <c r="I8" s="4" t="n"/>
      <c r="J8" s="4" t="n"/>
      <c r="K8" s="4" t="n"/>
      <c r="L8" s="15">
        <f>IF($S8="","",INDEX(Serviços!$J:$J,MATCH($S8,Serviços!$A:$A,0)))</f>
        <v/>
      </c>
      <c r="M8" s="15">
        <f>IF(OR($L8="",$E8=""),"",$E8-$L8)</f>
        <v/>
      </c>
      <c r="N8" s="7">
        <f>IF(OR($L8="",$E8=""),"",IF($L8=0,"N/D",$M8/$L8))</f>
        <v/>
      </c>
      <c r="O8" s="4" t="n"/>
      <c r="P8" s="4">
        <f>IF($B8="","",Base_Dados!$B$2)</f>
        <v/>
      </c>
      <c r="Q8" s="4">
        <f>IF($I8="","",INDEX(Etapas!$A:$A,MATCH($I8,Etapas!$B:$B,0)))</f>
        <v/>
      </c>
      <c r="R8" s="4">
        <f>IF($J8="","",INDEX(Subetapas!$A:$A,MATCH($J8,Subetapas!$B:$B,0)))</f>
        <v/>
      </c>
      <c r="S8" s="4">
        <f>IF($K8="","",INDEX(Serviços!$A:$A,MATCH($K8,Serviços!$B:$B,0)))</f>
        <v/>
      </c>
    </row>
    <row r="9">
      <c r="A9" s="4">
        <f>IF($B9="","","COM-"&amp;TEXT(ROW()-1,"0000"))</f>
        <v/>
      </c>
      <c r="B9" s="4" t="n"/>
      <c r="C9" s="4" t="n"/>
      <c r="D9" s="5" t="n"/>
      <c r="E9" s="14" t="n"/>
      <c r="F9" s="4" t="n"/>
      <c r="G9" s="4" t="n"/>
      <c r="H9" s="4" t="n"/>
      <c r="I9" s="4" t="n"/>
      <c r="J9" s="4" t="n"/>
      <c r="K9" s="4" t="n"/>
      <c r="L9" s="15">
        <f>IF($S9="","",INDEX(Serviços!$J:$J,MATCH($S9,Serviços!$A:$A,0)))</f>
        <v/>
      </c>
      <c r="M9" s="15">
        <f>IF(OR($L9="",$E9=""),"",$E9-$L9)</f>
        <v/>
      </c>
      <c r="N9" s="7">
        <f>IF(OR($L9="",$E9=""),"",IF($L9=0,"N/D",$M9/$L9))</f>
        <v/>
      </c>
      <c r="O9" s="4" t="n"/>
      <c r="P9" s="4">
        <f>IF($B9="","",Base_Dados!$B$2)</f>
        <v/>
      </c>
      <c r="Q9" s="4">
        <f>IF($I9="","",INDEX(Etapas!$A:$A,MATCH($I9,Etapas!$B:$B,0)))</f>
        <v/>
      </c>
      <c r="R9" s="4">
        <f>IF($J9="","",INDEX(Subetapas!$A:$A,MATCH($J9,Subetapas!$B:$B,0)))</f>
        <v/>
      </c>
      <c r="S9" s="4">
        <f>IF($K9="","",INDEX(Serviços!$A:$A,MATCH($K9,Serviços!$B:$B,0)))</f>
        <v/>
      </c>
    </row>
    <row r="10">
      <c r="A10" s="4">
        <f>IF($B10="","","COM-"&amp;TEXT(ROW()-1,"0000"))</f>
        <v/>
      </c>
      <c r="B10" s="4" t="n"/>
      <c r="C10" s="4" t="n"/>
      <c r="D10" s="5" t="n"/>
      <c r="E10" s="14" t="n"/>
      <c r="F10" s="4" t="n"/>
      <c r="G10" s="4" t="n"/>
      <c r="H10" s="4" t="n"/>
      <c r="I10" s="4" t="n"/>
      <c r="J10" s="4" t="n"/>
      <c r="K10" s="4" t="n"/>
      <c r="L10" s="15">
        <f>IF($S10="","",INDEX(Serviços!$J:$J,MATCH($S10,Serviços!$A:$A,0)))</f>
        <v/>
      </c>
      <c r="M10" s="15">
        <f>IF(OR($L10="",$E10=""),"",$E10-$L10)</f>
        <v/>
      </c>
      <c r="N10" s="7">
        <f>IF(OR($L10="",$E10=""),"",IF($L10=0,"N/D",$M10/$L10))</f>
        <v/>
      </c>
      <c r="O10" s="4" t="n"/>
      <c r="P10" s="4">
        <f>IF($B10="","",Base_Dados!$B$2)</f>
        <v/>
      </c>
      <c r="Q10" s="4">
        <f>IF($I10="","",INDEX(Etapas!$A:$A,MATCH($I10,Etapas!$B:$B,0)))</f>
        <v/>
      </c>
      <c r="R10" s="4">
        <f>IF($J10="","",INDEX(Subetapas!$A:$A,MATCH($J10,Subetapas!$B:$B,0)))</f>
        <v/>
      </c>
      <c r="S10" s="4">
        <f>IF($K10="","",INDEX(Serviços!$A:$A,MATCH($K10,Serviços!$B:$B,0)))</f>
        <v/>
      </c>
    </row>
    <row r="11">
      <c r="A11" s="4">
        <f>IF($B11="","","COM-"&amp;TEXT(ROW()-1,"0000"))</f>
        <v/>
      </c>
      <c r="B11" s="4" t="n"/>
      <c r="C11" s="4" t="n"/>
      <c r="D11" s="5" t="n"/>
      <c r="E11" s="14" t="n"/>
      <c r="F11" s="4" t="n"/>
      <c r="G11" s="4" t="n"/>
      <c r="H11" s="4" t="n"/>
      <c r="I11" s="4" t="n"/>
      <c r="J11" s="4" t="n"/>
      <c r="K11" s="4" t="n"/>
      <c r="L11" s="15">
        <f>IF($S11="","",INDEX(Serviços!$J:$J,MATCH($S11,Serviços!$A:$A,0)))</f>
        <v/>
      </c>
      <c r="M11" s="15">
        <f>IF(OR($L11="",$E11=""),"",$E11-$L11)</f>
        <v/>
      </c>
      <c r="N11" s="7">
        <f>IF(OR($L11="",$E11=""),"",IF($L11=0,"N/D",$M11/$L11))</f>
        <v/>
      </c>
      <c r="O11" s="4" t="n"/>
      <c r="P11" s="4">
        <f>IF($B11="","",Base_Dados!$B$2)</f>
        <v/>
      </c>
      <c r="Q11" s="4">
        <f>IF($I11="","",INDEX(Etapas!$A:$A,MATCH($I11,Etapas!$B:$B,0)))</f>
        <v/>
      </c>
      <c r="R11" s="4">
        <f>IF($J11="","",INDEX(Subetapas!$A:$A,MATCH($J11,Subetapas!$B:$B,0)))</f>
        <v/>
      </c>
      <c r="S11" s="4">
        <f>IF($K11="","",INDEX(Serviços!$A:$A,MATCH($K11,Serviços!$B:$B,0)))</f>
        <v/>
      </c>
    </row>
    <row r="12">
      <c r="A12" s="4">
        <f>IF($B12="","","COM-"&amp;TEXT(ROW()-1,"0000"))</f>
        <v/>
      </c>
      <c r="B12" s="4" t="n"/>
      <c r="C12" s="4" t="n"/>
      <c r="D12" s="5" t="n"/>
      <c r="E12" s="14" t="n"/>
      <c r="F12" s="4" t="n"/>
      <c r="G12" s="4" t="n"/>
      <c r="H12" s="4" t="n"/>
      <c r="I12" s="4" t="n"/>
      <c r="J12" s="4" t="n"/>
      <c r="K12" s="4" t="n"/>
      <c r="L12" s="15">
        <f>IF($S12="","",INDEX(Serviços!$J:$J,MATCH($S12,Serviços!$A:$A,0)))</f>
        <v/>
      </c>
      <c r="M12" s="15">
        <f>IF(OR($L12="",$E12=""),"",$E12-$L12)</f>
        <v/>
      </c>
      <c r="N12" s="7">
        <f>IF(OR($L12="",$E12=""),"",IF($L12=0,"N/D",$M12/$L12))</f>
        <v/>
      </c>
      <c r="O12" s="4" t="n"/>
      <c r="P12" s="4">
        <f>IF($B12="","",Base_Dados!$B$2)</f>
        <v/>
      </c>
      <c r="Q12" s="4">
        <f>IF($I12="","",INDEX(Etapas!$A:$A,MATCH($I12,Etapas!$B:$B,0)))</f>
        <v/>
      </c>
      <c r="R12" s="4">
        <f>IF($J12="","",INDEX(Subetapas!$A:$A,MATCH($J12,Subetapas!$B:$B,0)))</f>
        <v/>
      </c>
      <c r="S12" s="4">
        <f>IF($K12="","",INDEX(Serviços!$A:$A,MATCH($K12,Serviços!$B:$B,0)))</f>
        <v/>
      </c>
    </row>
    <row r="13">
      <c r="A13" s="4">
        <f>IF($B13="","","COM-"&amp;TEXT(ROW()-1,"0000"))</f>
        <v/>
      </c>
      <c r="B13" s="4" t="n"/>
      <c r="C13" s="4" t="n"/>
      <c r="D13" s="5" t="n"/>
      <c r="E13" s="14" t="n"/>
      <c r="F13" s="4" t="n"/>
      <c r="G13" s="4" t="n"/>
      <c r="H13" s="4" t="n"/>
      <c r="I13" s="4" t="n"/>
      <c r="J13" s="4" t="n"/>
      <c r="K13" s="4" t="n"/>
      <c r="L13" s="15">
        <f>IF($S13="","",INDEX(Serviços!$J:$J,MATCH($S13,Serviços!$A:$A,0)))</f>
        <v/>
      </c>
      <c r="M13" s="15">
        <f>IF(OR($L13="",$E13=""),"",$E13-$L13)</f>
        <v/>
      </c>
      <c r="N13" s="7">
        <f>IF(OR($L13="",$E13=""),"",IF($L13=0,"N/D",$M13/$L13))</f>
        <v/>
      </c>
      <c r="O13" s="4" t="n"/>
      <c r="P13" s="4">
        <f>IF($B13="","",Base_Dados!$B$2)</f>
        <v/>
      </c>
      <c r="Q13" s="4">
        <f>IF($I13="","",INDEX(Etapas!$A:$A,MATCH($I13,Etapas!$B:$B,0)))</f>
        <v/>
      </c>
      <c r="R13" s="4">
        <f>IF($J13="","",INDEX(Subetapas!$A:$A,MATCH($J13,Subetapas!$B:$B,0)))</f>
        <v/>
      </c>
      <c r="S13" s="4">
        <f>IF($K13="","",INDEX(Serviços!$A:$A,MATCH($K13,Serviços!$B:$B,0)))</f>
        <v/>
      </c>
    </row>
    <row r="14">
      <c r="A14" s="4">
        <f>IF($B14="","","COM-"&amp;TEXT(ROW()-1,"0000"))</f>
        <v/>
      </c>
      <c r="B14" s="4" t="n"/>
      <c r="C14" s="4" t="n"/>
      <c r="D14" s="5" t="n"/>
      <c r="E14" s="14" t="n"/>
      <c r="F14" s="4" t="n"/>
      <c r="G14" s="4" t="n"/>
      <c r="H14" s="4" t="n"/>
      <c r="I14" s="4" t="n"/>
      <c r="J14" s="4" t="n"/>
      <c r="K14" s="4" t="n"/>
      <c r="L14" s="15">
        <f>IF($S14="","",INDEX(Serviços!$J:$J,MATCH($S14,Serviços!$A:$A,0)))</f>
        <v/>
      </c>
      <c r="M14" s="15">
        <f>IF(OR($L14="",$E14=""),"",$E14-$L14)</f>
        <v/>
      </c>
      <c r="N14" s="7">
        <f>IF(OR($L14="",$E14=""),"",IF($L14=0,"N/D",$M14/$L14))</f>
        <v/>
      </c>
      <c r="O14" s="4" t="n"/>
      <c r="P14" s="4">
        <f>IF($B14="","",Base_Dados!$B$2)</f>
        <v/>
      </c>
      <c r="Q14" s="4">
        <f>IF($I14="","",INDEX(Etapas!$A:$A,MATCH($I14,Etapas!$B:$B,0)))</f>
        <v/>
      </c>
      <c r="R14" s="4">
        <f>IF($J14="","",INDEX(Subetapas!$A:$A,MATCH($J14,Subetapas!$B:$B,0)))</f>
        <v/>
      </c>
      <c r="S14" s="4">
        <f>IF($K14="","",INDEX(Serviços!$A:$A,MATCH($K14,Serviços!$B:$B,0)))</f>
        <v/>
      </c>
    </row>
    <row r="15">
      <c r="A15" s="4">
        <f>IF($B15="","","COM-"&amp;TEXT(ROW()-1,"0000"))</f>
        <v/>
      </c>
      <c r="B15" s="4" t="n"/>
      <c r="C15" s="4" t="n"/>
      <c r="D15" s="5" t="n"/>
      <c r="E15" s="14" t="n"/>
      <c r="F15" s="4" t="n"/>
      <c r="G15" s="4" t="n"/>
      <c r="H15" s="4" t="n"/>
      <c r="I15" s="4" t="n"/>
      <c r="J15" s="4" t="n"/>
      <c r="K15" s="4" t="n"/>
      <c r="L15" s="15">
        <f>IF($S15="","",INDEX(Serviços!$J:$J,MATCH($S15,Serviços!$A:$A,0)))</f>
        <v/>
      </c>
      <c r="M15" s="15">
        <f>IF(OR($L15="",$E15=""),"",$E15-$L15)</f>
        <v/>
      </c>
      <c r="N15" s="7">
        <f>IF(OR($L15="",$E15=""),"",IF($L15=0,"N/D",$M15/$L15))</f>
        <v/>
      </c>
      <c r="O15" s="4" t="n"/>
      <c r="P15" s="4">
        <f>IF($B15="","",Base_Dados!$B$2)</f>
        <v/>
      </c>
      <c r="Q15" s="4">
        <f>IF($I15="","",INDEX(Etapas!$A:$A,MATCH($I15,Etapas!$B:$B,0)))</f>
        <v/>
      </c>
      <c r="R15" s="4">
        <f>IF($J15="","",INDEX(Subetapas!$A:$A,MATCH($J15,Subetapas!$B:$B,0)))</f>
        <v/>
      </c>
      <c r="S15" s="4">
        <f>IF($K15="","",INDEX(Serviços!$A:$A,MATCH($K15,Serviços!$B:$B,0)))</f>
        <v/>
      </c>
    </row>
    <row r="16">
      <c r="A16" s="4">
        <f>IF($B16="","","COM-"&amp;TEXT(ROW()-1,"0000"))</f>
        <v/>
      </c>
      <c r="B16" s="4" t="n"/>
      <c r="C16" s="4" t="n"/>
      <c r="D16" s="5" t="n"/>
      <c r="E16" s="14" t="n"/>
      <c r="F16" s="4" t="n"/>
      <c r="G16" s="4" t="n"/>
      <c r="H16" s="4" t="n"/>
      <c r="I16" s="4" t="n"/>
      <c r="J16" s="4" t="n"/>
      <c r="K16" s="4" t="n"/>
      <c r="L16" s="15">
        <f>IF($S16="","",INDEX(Serviços!$J:$J,MATCH($S16,Serviços!$A:$A,0)))</f>
        <v/>
      </c>
      <c r="M16" s="15">
        <f>IF(OR($L16="",$E16=""),"",$E16-$L16)</f>
        <v/>
      </c>
      <c r="N16" s="7">
        <f>IF(OR($L16="",$E16=""),"",IF($L16=0,"N/D",$M16/$L16))</f>
        <v/>
      </c>
      <c r="O16" s="4" t="n"/>
      <c r="P16" s="4">
        <f>IF($B16="","",Base_Dados!$B$2)</f>
        <v/>
      </c>
      <c r="Q16" s="4">
        <f>IF($I16="","",INDEX(Etapas!$A:$A,MATCH($I16,Etapas!$B:$B,0)))</f>
        <v/>
      </c>
      <c r="R16" s="4">
        <f>IF($J16="","",INDEX(Subetapas!$A:$A,MATCH($J16,Subetapas!$B:$B,0)))</f>
        <v/>
      </c>
      <c r="S16" s="4">
        <f>IF($K16="","",INDEX(Serviços!$A:$A,MATCH($K16,Serviços!$B:$B,0)))</f>
        <v/>
      </c>
    </row>
    <row r="17">
      <c r="A17" s="4">
        <f>IF($B17="","","COM-"&amp;TEXT(ROW()-1,"0000"))</f>
        <v/>
      </c>
      <c r="B17" s="4" t="n"/>
      <c r="C17" s="4" t="n"/>
      <c r="D17" s="5" t="n"/>
      <c r="E17" s="14" t="n"/>
      <c r="F17" s="4" t="n"/>
      <c r="G17" s="4" t="n"/>
      <c r="H17" s="4" t="n"/>
      <c r="I17" s="4" t="n"/>
      <c r="J17" s="4" t="n"/>
      <c r="K17" s="4" t="n"/>
      <c r="L17" s="15">
        <f>IF($S17="","",INDEX(Serviços!$J:$J,MATCH($S17,Serviços!$A:$A,0)))</f>
        <v/>
      </c>
      <c r="M17" s="15">
        <f>IF(OR($L17="",$E17=""),"",$E17-$L17)</f>
        <v/>
      </c>
      <c r="N17" s="7">
        <f>IF(OR($L17="",$E17=""),"",IF($L17=0,"N/D",$M17/$L17))</f>
        <v/>
      </c>
      <c r="O17" s="4" t="n"/>
      <c r="P17" s="4">
        <f>IF($B17="","",Base_Dados!$B$2)</f>
        <v/>
      </c>
      <c r="Q17" s="4">
        <f>IF($I17="","",INDEX(Etapas!$A:$A,MATCH($I17,Etapas!$B:$B,0)))</f>
        <v/>
      </c>
      <c r="R17" s="4">
        <f>IF($J17="","",INDEX(Subetapas!$A:$A,MATCH($J17,Subetapas!$B:$B,0)))</f>
        <v/>
      </c>
      <c r="S17" s="4">
        <f>IF($K17="","",INDEX(Serviços!$A:$A,MATCH($K17,Serviços!$B:$B,0)))</f>
        <v/>
      </c>
    </row>
    <row r="18">
      <c r="A18" s="4">
        <f>IF($B18="","","COM-"&amp;TEXT(ROW()-1,"0000"))</f>
        <v/>
      </c>
      <c r="B18" s="4" t="n"/>
      <c r="C18" s="4" t="n"/>
      <c r="D18" s="5" t="n"/>
      <c r="E18" s="14" t="n"/>
      <c r="F18" s="4" t="n"/>
      <c r="G18" s="4" t="n"/>
      <c r="H18" s="4" t="n"/>
      <c r="I18" s="4" t="n"/>
      <c r="J18" s="4" t="n"/>
      <c r="K18" s="4" t="n"/>
      <c r="L18" s="15">
        <f>IF($S18="","",INDEX(Serviços!$J:$J,MATCH($S18,Serviços!$A:$A,0)))</f>
        <v/>
      </c>
      <c r="M18" s="15">
        <f>IF(OR($L18="",$E18=""),"",$E18-$L18)</f>
        <v/>
      </c>
      <c r="N18" s="7">
        <f>IF(OR($L18="",$E18=""),"",IF($L18=0,"N/D",$M18/$L18))</f>
        <v/>
      </c>
      <c r="O18" s="4" t="n"/>
      <c r="P18" s="4">
        <f>IF($B18="","",Base_Dados!$B$2)</f>
        <v/>
      </c>
      <c r="Q18" s="4">
        <f>IF($I18="","",INDEX(Etapas!$A:$A,MATCH($I18,Etapas!$B:$B,0)))</f>
        <v/>
      </c>
      <c r="R18" s="4">
        <f>IF($J18="","",INDEX(Subetapas!$A:$A,MATCH($J18,Subetapas!$B:$B,0)))</f>
        <v/>
      </c>
      <c r="S18" s="4">
        <f>IF($K18="","",INDEX(Serviços!$A:$A,MATCH($K18,Serviços!$B:$B,0)))</f>
        <v/>
      </c>
    </row>
    <row r="19">
      <c r="A19" s="4">
        <f>IF($B19="","","COM-"&amp;TEXT(ROW()-1,"0000"))</f>
        <v/>
      </c>
      <c r="B19" s="4" t="n"/>
      <c r="C19" s="4" t="n"/>
      <c r="D19" s="5" t="n"/>
      <c r="E19" s="14" t="n"/>
      <c r="F19" s="4" t="n"/>
      <c r="G19" s="4" t="n"/>
      <c r="H19" s="4" t="n"/>
      <c r="I19" s="4" t="n"/>
      <c r="J19" s="4" t="n"/>
      <c r="K19" s="4" t="n"/>
      <c r="L19" s="15">
        <f>IF($S19="","",INDEX(Serviços!$J:$J,MATCH($S19,Serviços!$A:$A,0)))</f>
        <v/>
      </c>
      <c r="M19" s="15">
        <f>IF(OR($L19="",$E19=""),"",$E19-$L19)</f>
        <v/>
      </c>
      <c r="N19" s="7">
        <f>IF(OR($L19="",$E19=""),"",IF($L19=0,"N/D",$M19/$L19))</f>
        <v/>
      </c>
      <c r="O19" s="4" t="n"/>
      <c r="P19" s="4">
        <f>IF($B19="","",Base_Dados!$B$2)</f>
        <v/>
      </c>
      <c r="Q19" s="4">
        <f>IF($I19="","",INDEX(Etapas!$A:$A,MATCH($I19,Etapas!$B:$B,0)))</f>
        <v/>
      </c>
      <c r="R19" s="4">
        <f>IF($J19="","",INDEX(Subetapas!$A:$A,MATCH($J19,Subetapas!$B:$B,0)))</f>
        <v/>
      </c>
      <c r="S19" s="4">
        <f>IF($K19="","",INDEX(Serviços!$A:$A,MATCH($K19,Serviços!$B:$B,0)))</f>
        <v/>
      </c>
    </row>
    <row r="20">
      <c r="A20" s="4">
        <f>IF($B20="","","COM-"&amp;TEXT(ROW()-1,"0000"))</f>
        <v/>
      </c>
      <c r="B20" s="4" t="n"/>
      <c r="C20" s="4" t="n"/>
      <c r="D20" s="5" t="n"/>
      <c r="E20" s="14" t="n"/>
      <c r="F20" s="4" t="n"/>
      <c r="G20" s="4" t="n"/>
      <c r="H20" s="4" t="n"/>
      <c r="I20" s="4" t="n"/>
      <c r="J20" s="4" t="n"/>
      <c r="K20" s="4" t="n"/>
      <c r="L20" s="15">
        <f>IF($S20="","",INDEX(Serviços!$J:$J,MATCH($S20,Serviços!$A:$A,0)))</f>
        <v/>
      </c>
      <c r="M20" s="15">
        <f>IF(OR($L20="",$E20=""),"",$E20-$L20)</f>
        <v/>
      </c>
      <c r="N20" s="7">
        <f>IF(OR($L20="",$E20=""),"",IF($L20=0,"N/D",$M20/$L20))</f>
        <v/>
      </c>
      <c r="O20" s="4" t="n"/>
      <c r="P20" s="4">
        <f>IF($B20="","",Base_Dados!$B$2)</f>
        <v/>
      </c>
      <c r="Q20" s="4">
        <f>IF($I20="","",INDEX(Etapas!$A:$A,MATCH($I20,Etapas!$B:$B,0)))</f>
        <v/>
      </c>
      <c r="R20" s="4">
        <f>IF($J20="","",INDEX(Subetapas!$A:$A,MATCH($J20,Subetapas!$B:$B,0)))</f>
        <v/>
      </c>
      <c r="S20" s="4">
        <f>IF($K20="","",INDEX(Serviços!$A:$A,MATCH($K20,Serviços!$B:$B,0)))</f>
        <v/>
      </c>
    </row>
    <row r="21">
      <c r="A21" s="4">
        <f>IF($B21="","","COM-"&amp;TEXT(ROW()-1,"0000"))</f>
        <v/>
      </c>
      <c r="B21" s="4" t="n"/>
      <c r="C21" s="4" t="n"/>
      <c r="D21" s="5" t="n"/>
      <c r="E21" s="14" t="n"/>
      <c r="F21" s="4" t="n"/>
      <c r="G21" s="4" t="n"/>
      <c r="H21" s="4" t="n"/>
      <c r="I21" s="4" t="n"/>
      <c r="J21" s="4" t="n"/>
      <c r="K21" s="4" t="n"/>
      <c r="L21" s="15">
        <f>IF($S21="","",INDEX(Serviços!$J:$J,MATCH($S21,Serviços!$A:$A,0)))</f>
        <v/>
      </c>
      <c r="M21" s="15">
        <f>IF(OR($L21="",$E21=""),"",$E21-$L21)</f>
        <v/>
      </c>
      <c r="N21" s="7">
        <f>IF(OR($L21="",$E21=""),"",IF($L21=0,"N/D",$M21/$L21))</f>
        <v/>
      </c>
      <c r="O21" s="4" t="n"/>
      <c r="P21" s="4">
        <f>IF($B21="","",Base_Dados!$B$2)</f>
        <v/>
      </c>
      <c r="Q21" s="4">
        <f>IF($I21="","",INDEX(Etapas!$A:$A,MATCH($I21,Etapas!$B:$B,0)))</f>
        <v/>
      </c>
      <c r="R21" s="4">
        <f>IF($J21="","",INDEX(Subetapas!$A:$A,MATCH($J21,Subetapas!$B:$B,0)))</f>
        <v/>
      </c>
      <c r="S21" s="4">
        <f>IF($K21="","",INDEX(Serviços!$A:$A,MATCH($K21,Serviços!$B:$B,0)))</f>
        <v/>
      </c>
    </row>
    <row r="22">
      <c r="A22" s="4">
        <f>IF($B22="","","COM-"&amp;TEXT(ROW()-1,"0000"))</f>
        <v/>
      </c>
      <c r="B22" s="4" t="n"/>
      <c r="C22" s="4" t="n"/>
      <c r="D22" s="5" t="n"/>
      <c r="E22" s="14" t="n"/>
      <c r="F22" s="4" t="n"/>
      <c r="G22" s="4" t="n"/>
      <c r="H22" s="4" t="n"/>
      <c r="I22" s="4" t="n"/>
      <c r="J22" s="4" t="n"/>
      <c r="K22" s="4" t="n"/>
      <c r="L22" s="15">
        <f>IF($S22="","",INDEX(Serviços!$J:$J,MATCH($S22,Serviços!$A:$A,0)))</f>
        <v/>
      </c>
      <c r="M22" s="15">
        <f>IF(OR($L22="",$E22=""),"",$E22-$L22)</f>
        <v/>
      </c>
      <c r="N22" s="7">
        <f>IF(OR($L22="",$E22=""),"",IF($L22=0,"N/D",$M22/$L22))</f>
        <v/>
      </c>
      <c r="O22" s="4" t="n"/>
      <c r="P22" s="4">
        <f>IF($B22="","",Base_Dados!$B$2)</f>
        <v/>
      </c>
      <c r="Q22" s="4">
        <f>IF($I22="","",INDEX(Etapas!$A:$A,MATCH($I22,Etapas!$B:$B,0)))</f>
        <v/>
      </c>
      <c r="R22" s="4">
        <f>IF($J22="","",INDEX(Subetapas!$A:$A,MATCH($J22,Subetapas!$B:$B,0)))</f>
        <v/>
      </c>
      <c r="S22" s="4">
        <f>IF($K22="","",INDEX(Serviços!$A:$A,MATCH($K22,Serviços!$B:$B,0)))</f>
        <v/>
      </c>
    </row>
    <row r="23">
      <c r="A23" s="4">
        <f>IF($B23="","","COM-"&amp;TEXT(ROW()-1,"0000"))</f>
        <v/>
      </c>
      <c r="B23" s="4" t="n"/>
      <c r="C23" s="4" t="n"/>
      <c r="D23" s="5" t="n"/>
      <c r="E23" s="14" t="n"/>
      <c r="F23" s="4" t="n"/>
      <c r="G23" s="4" t="n"/>
      <c r="H23" s="4" t="n"/>
      <c r="I23" s="4" t="n"/>
      <c r="J23" s="4" t="n"/>
      <c r="K23" s="4" t="n"/>
      <c r="L23" s="15">
        <f>IF($S23="","",INDEX(Serviços!$J:$J,MATCH($S23,Serviços!$A:$A,0)))</f>
        <v/>
      </c>
      <c r="M23" s="15">
        <f>IF(OR($L23="",$E23=""),"",$E23-$L23)</f>
        <v/>
      </c>
      <c r="N23" s="7">
        <f>IF(OR($L23="",$E23=""),"",IF($L23=0,"N/D",$M23/$L23))</f>
        <v/>
      </c>
      <c r="O23" s="4" t="n"/>
      <c r="P23" s="4">
        <f>IF($B23="","",Base_Dados!$B$2)</f>
        <v/>
      </c>
      <c r="Q23" s="4">
        <f>IF($I23="","",INDEX(Etapas!$A:$A,MATCH($I23,Etapas!$B:$B,0)))</f>
        <v/>
      </c>
      <c r="R23" s="4">
        <f>IF($J23="","",INDEX(Subetapas!$A:$A,MATCH($J23,Subetapas!$B:$B,0)))</f>
        <v/>
      </c>
      <c r="S23" s="4">
        <f>IF($K23="","",INDEX(Serviços!$A:$A,MATCH($K23,Serviços!$B:$B,0)))</f>
        <v/>
      </c>
    </row>
    <row r="24">
      <c r="A24" s="4">
        <f>IF($B24="","","COM-"&amp;TEXT(ROW()-1,"0000"))</f>
        <v/>
      </c>
      <c r="B24" s="4" t="n"/>
      <c r="C24" s="4" t="n"/>
      <c r="D24" s="5" t="n"/>
      <c r="E24" s="14" t="n"/>
      <c r="F24" s="4" t="n"/>
      <c r="G24" s="4" t="n"/>
      <c r="H24" s="4" t="n"/>
      <c r="I24" s="4" t="n"/>
      <c r="J24" s="4" t="n"/>
      <c r="K24" s="4" t="n"/>
      <c r="L24" s="15">
        <f>IF($S24="","",INDEX(Serviços!$J:$J,MATCH($S24,Serviços!$A:$A,0)))</f>
        <v/>
      </c>
      <c r="M24" s="15">
        <f>IF(OR($L24="",$E24=""),"",$E24-$L24)</f>
        <v/>
      </c>
      <c r="N24" s="7">
        <f>IF(OR($L24="",$E24=""),"",IF($L24=0,"N/D",$M24/$L24))</f>
        <v/>
      </c>
      <c r="O24" s="4" t="n"/>
      <c r="P24" s="4">
        <f>IF($B24="","",Base_Dados!$B$2)</f>
        <v/>
      </c>
      <c r="Q24" s="4">
        <f>IF($I24="","",INDEX(Etapas!$A:$A,MATCH($I24,Etapas!$B:$B,0)))</f>
        <v/>
      </c>
      <c r="R24" s="4">
        <f>IF($J24="","",INDEX(Subetapas!$A:$A,MATCH($J24,Subetapas!$B:$B,0)))</f>
        <v/>
      </c>
      <c r="S24" s="4">
        <f>IF($K24="","",INDEX(Serviços!$A:$A,MATCH($K24,Serviços!$B:$B,0)))</f>
        <v/>
      </c>
    </row>
    <row r="25">
      <c r="A25" s="4">
        <f>IF($B25="","","COM-"&amp;TEXT(ROW()-1,"0000"))</f>
        <v/>
      </c>
      <c r="B25" s="4" t="n"/>
      <c r="C25" s="4" t="n"/>
      <c r="D25" s="5" t="n"/>
      <c r="E25" s="14" t="n"/>
      <c r="F25" s="4" t="n"/>
      <c r="G25" s="4" t="n"/>
      <c r="H25" s="4" t="n"/>
      <c r="I25" s="4" t="n"/>
      <c r="J25" s="4" t="n"/>
      <c r="K25" s="4" t="n"/>
      <c r="L25" s="15">
        <f>IF($S25="","",INDEX(Serviços!$J:$J,MATCH($S25,Serviços!$A:$A,0)))</f>
        <v/>
      </c>
      <c r="M25" s="15">
        <f>IF(OR($L25="",$E25=""),"",$E25-$L25)</f>
        <v/>
      </c>
      <c r="N25" s="7">
        <f>IF(OR($L25="",$E25=""),"",IF($L25=0,"N/D",$M25/$L25))</f>
        <v/>
      </c>
      <c r="O25" s="4" t="n"/>
      <c r="P25" s="4">
        <f>IF($B25="","",Base_Dados!$B$2)</f>
        <v/>
      </c>
      <c r="Q25" s="4">
        <f>IF($I25="","",INDEX(Etapas!$A:$A,MATCH($I25,Etapas!$B:$B,0)))</f>
        <v/>
      </c>
      <c r="R25" s="4">
        <f>IF($J25="","",INDEX(Subetapas!$A:$A,MATCH($J25,Subetapas!$B:$B,0)))</f>
        <v/>
      </c>
      <c r="S25" s="4">
        <f>IF($K25="","",INDEX(Serviços!$A:$A,MATCH($K25,Serviços!$B:$B,0)))</f>
        <v/>
      </c>
    </row>
    <row r="26">
      <c r="A26" s="4">
        <f>IF($B26="","","COM-"&amp;TEXT(ROW()-1,"0000"))</f>
        <v/>
      </c>
      <c r="B26" s="4" t="n"/>
      <c r="C26" s="4" t="n"/>
      <c r="D26" s="5" t="n"/>
      <c r="E26" s="14" t="n"/>
      <c r="F26" s="4" t="n"/>
      <c r="G26" s="4" t="n"/>
      <c r="H26" s="4" t="n"/>
      <c r="I26" s="4" t="n"/>
      <c r="J26" s="4" t="n"/>
      <c r="K26" s="4" t="n"/>
      <c r="L26" s="15">
        <f>IF($S26="","",INDEX(Serviços!$J:$J,MATCH($S26,Serviços!$A:$A,0)))</f>
        <v/>
      </c>
      <c r="M26" s="15">
        <f>IF(OR($L26="",$E26=""),"",$E26-$L26)</f>
        <v/>
      </c>
      <c r="N26" s="7">
        <f>IF(OR($L26="",$E26=""),"",IF($L26=0,"N/D",$M26/$L26))</f>
        <v/>
      </c>
      <c r="O26" s="4" t="n"/>
      <c r="P26" s="4">
        <f>IF($B26="","",Base_Dados!$B$2)</f>
        <v/>
      </c>
      <c r="Q26" s="4">
        <f>IF($I26="","",INDEX(Etapas!$A:$A,MATCH($I26,Etapas!$B:$B,0)))</f>
        <v/>
      </c>
      <c r="R26" s="4">
        <f>IF($J26="","",INDEX(Subetapas!$A:$A,MATCH($J26,Subetapas!$B:$B,0)))</f>
        <v/>
      </c>
      <c r="S26" s="4">
        <f>IF($K26="","",INDEX(Serviços!$A:$A,MATCH($K26,Serviços!$B:$B,0)))</f>
        <v/>
      </c>
    </row>
    <row r="27">
      <c r="A27" s="4">
        <f>IF($B27="","","COM-"&amp;TEXT(ROW()-1,"0000"))</f>
        <v/>
      </c>
      <c r="B27" s="4" t="n"/>
      <c r="C27" s="4" t="n"/>
      <c r="D27" s="5" t="n"/>
      <c r="E27" s="14" t="n"/>
      <c r="F27" s="4" t="n"/>
      <c r="G27" s="4" t="n"/>
      <c r="H27" s="4" t="n"/>
      <c r="I27" s="4" t="n"/>
      <c r="J27" s="4" t="n"/>
      <c r="K27" s="4" t="n"/>
      <c r="L27" s="15">
        <f>IF($S27="","",INDEX(Serviços!$J:$J,MATCH($S27,Serviços!$A:$A,0)))</f>
        <v/>
      </c>
      <c r="M27" s="15">
        <f>IF(OR($L27="",$E27=""),"",$E27-$L27)</f>
        <v/>
      </c>
      <c r="N27" s="7">
        <f>IF(OR($L27="",$E27=""),"",IF($L27=0,"N/D",$M27/$L27))</f>
        <v/>
      </c>
      <c r="O27" s="4" t="n"/>
      <c r="P27" s="4">
        <f>IF($B27="","",Base_Dados!$B$2)</f>
        <v/>
      </c>
      <c r="Q27" s="4">
        <f>IF($I27="","",INDEX(Etapas!$A:$A,MATCH($I27,Etapas!$B:$B,0)))</f>
        <v/>
      </c>
      <c r="R27" s="4">
        <f>IF($J27="","",INDEX(Subetapas!$A:$A,MATCH($J27,Subetapas!$B:$B,0)))</f>
        <v/>
      </c>
      <c r="S27" s="4">
        <f>IF($K27="","",INDEX(Serviços!$A:$A,MATCH($K27,Serviços!$B:$B,0)))</f>
        <v/>
      </c>
    </row>
    <row r="28">
      <c r="A28" s="4">
        <f>IF($B28="","","COM-"&amp;TEXT(ROW()-1,"0000"))</f>
        <v/>
      </c>
      <c r="B28" s="4" t="n"/>
      <c r="C28" s="4" t="n"/>
      <c r="D28" s="5" t="n"/>
      <c r="E28" s="14" t="n"/>
      <c r="F28" s="4" t="n"/>
      <c r="G28" s="4" t="n"/>
      <c r="H28" s="4" t="n"/>
      <c r="I28" s="4" t="n"/>
      <c r="J28" s="4" t="n"/>
      <c r="K28" s="4" t="n"/>
      <c r="L28" s="15">
        <f>IF($S28="","",INDEX(Serviços!$J:$J,MATCH($S28,Serviços!$A:$A,0)))</f>
        <v/>
      </c>
      <c r="M28" s="15">
        <f>IF(OR($L28="",$E28=""),"",$E28-$L28)</f>
        <v/>
      </c>
      <c r="N28" s="7">
        <f>IF(OR($L28="",$E28=""),"",IF($L28=0,"N/D",$M28/$L28))</f>
        <v/>
      </c>
      <c r="O28" s="4" t="n"/>
      <c r="P28" s="4">
        <f>IF($B28="","",Base_Dados!$B$2)</f>
        <v/>
      </c>
      <c r="Q28" s="4">
        <f>IF($I28="","",INDEX(Etapas!$A:$A,MATCH($I28,Etapas!$B:$B,0)))</f>
        <v/>
      </c>
      <c r="R28" s="4">
        <f>IF($J28="","",INDEX(Subetapas!$A:$A,MATCH($J28,Subetapas!$B:$B,0)))</f>
        <v/>
      </c>
      <c r="S28" s="4">
        <f>IF($K28="","",INDEX(Serviços!$A:$A,MATCH($K28,Serviços!$B:$B,0)))</f>
        <v/>
      </c>
    </row>
    <row r="29">
      <c r="A29" s="4">
        <f>IF($B29="","","COM-"&amp;TEXT(ROW()-1,"0000"))</f>
        <v/>
      </c>
      <c r="B29" s="4" t="n"/>
      <c r="C29" s="4" t="n"/>
      <c r="D29" s="5" t="n"/>
      <c r="E29" s="14" t="n"/>
      <c r="F29" s="4" t="n"/>
      <c r="G29" s="4" t="n"/>
      <c r="H29" s="4" t="n"/>
      <c r="I29" s="4" t="n"/>
      <c r="J29" s="4" t="n"/>
      <c r="K29" s="4" t="n"/>
      <c r="L29" s="15">
        <f>IF($S29="","",INDEX(Serviços!$J:$J,MATCH($S29,Serviços!$A:$A,0)))</f>
        <v/>
      </c>
      <c r="M29" s="15">
        <f>IF(OR($L29="",$E29=""),"",$E29-$L29)</f>
        <v/>
      </c>
      <c r="N29" s="7">
        <f>IF(OR($L29="",$E29=""),"",IF($L29=0,"N/D",$M29/$L29))</f>
        <v/>
      </c>
      <c r="O29" s="4" t="n"/>
      <c r="P29" s="4">
        <f>IF($B29="","",Base_Dados!$B$2)</f>
        <v/>
      </c>
      <c r="Q29" s="4">
        <f>IF($I29="","",INDEX(Etapas!$A:$A,MATCH($I29,Etapas!$B:$B,0)))</f>
        <v/>
      </c>
      <c r="R29" s="4">
        <f>IF($J29="","",INDEX(Subetapas!$A:$A,MATCH($J29,Subetapas!$B:$B,0)))</f>
        <v/>
      </c>
      <c r="S29" s="4">
        <f>IF($K29="","",INDEX(Serviços!$A:$A,MATCH($K29,Serviços!$B:$B,0)))</f>
        <v/>
      </c>
    </row>
    <row r="30">
      <c r="A30" s="4">
        <f>IF($B30="","","COM-"&amp;TEXT(ROW()-1,"0000"))</f>
        <v/>
      </c>
      <c r="B30" s="4" t="n"/>
      <c r="C30" s="4" t="n"/>
      <c r="D30" s="5" t="n"/>
      <c r="E30" s="14" t="n"/>
      <c r="F30" s="4" t="n"/>
      <c r="G30" s="4" t="n"/>
      <c r="H30" s="4" t="n"/>
      <c r="I30" s="4" t="n"/>
      <c r="J30" s="4" t="n"/>
      <c r="K30" s="4" t="n"/>
      <c r="L30" s="15">
        <f>IF($S30="","",INDEX(Serviços!$J:$J,MATCH($S30,Serviços!$A:$A,0)))</f>
        <v/>
      </c>
      <c r="M30" s="15">
        <f>IF(OR($L30="",$E30=""),"",$E30-$L30)</f>
        <v/>
      </c>
      <c r="N30" s="7">
        <f>IF(OR($L30="",$E30=""),"",IF($L30=0,"N/D",$M30/$L30))</f>
        <v/>
      </c>
      <c r="O30" s="4" t="n"/>
      <c r="P30" s="4">
        <f>IF($B30="","",Base_Dados!$B$2)</f>
        <v/>
      </c>
      <c r="Q30" s="4">
        <f>IF($I30="","",INDEX(Etapas!$A:$A,MATCH($I30,Etapas!$B:$B,0)))</f>
        <v/>
      </c>
      <c r="R30" s="4">
        <f>IF($J30="","",INDEX(Subetapas!$A:$A,MATCH($J30,Subetapas!$B:$B,0)))</f>
        <v/>
      </c>
      <c r="S30" s="4">
        <f>IF($K30="","",INDEX(Serviços!$A:$A,MATCH($K30,Serviços!$B:$B,0)))</f>
        <v/>
      </c>
    </row>
    <row r="31">
      <c r="A31" s="4">
        <f>IF($B31="","","COM-"&amp;TEXT(ROW()-1,"0000"))</f>
        <v/>
      </c>
      <c r="B31" s="4" t="n"/>
      <c r="C31" s="4" t="n"/>
      <c r="D31" s="5" t="n"/>
      <c r="E31" s="14" t="n"/>
      <c r="F31" s="4" t="n"/>
      <c r="G31" s="4" t="n"/>
      <c r="H31" s="4" t="n"/>
      <c r="I31" s="4" t="n"/>
      <c r="J31" s="4" t="n"/>
      <c r="K31" s="4" t="n"/>
      <c r="L31" s="15">
        <f>IF($S31="","",INDEX(Serviços!$J:$J,MATCH($S31,Serviços!$A:$A,0)))</f>
        <v/>
      </c>
      <c r="M31" s="15">
        <f>IF(OR($L31="",$E31=""),"",$E31-$L31)</f>
        <v/>
      </c>
      <c r="N31" s="7">
        <f>IF(OR($L31="",$E31=""),"",IF($L31=0,"N/D",$M31/$L31))</f>
        <v/>
      </c>
      <c r="O31" s="4" t="n"/>
      <c r="P31" s="4">
        <f>IF($B31="","",Base_Dados!$B$2)</f>
        <v/>
      </c>
      <c r="Q31" s="4">
        <f>IF($I31="","",INDEX(Etapas!$A:$A,MATCH($I31,Etapas!$B:$B,0)))</f>
        <v/>
      </c>
      <c r="R31" s="4">
        <f>IF($J31="","",INDEX(Subetapas!$A:$A,MATCH($J31,Subetapas!$B:$B,0)))</f>
        <v/>
      </c>
      <c r="S31" s="4">
        <f>IF($K31="","",INDEX(Serviços!$A:$A,MATCH($K31,Serviços!$B:$B,0)))</f>
        <v/>
      </c>
    </row>
  </sheetData>
  <dataValidations count="4">
    <dataValidation sqref="I2:I31" showDropDown="0" showInputMessage="0" showErrorMessage="1" allowBlank="1" errorTitle="Etapa inválida" error="Selecione uma Etapa já cadastrada na aba Etapas." type="list">
      <formula1>Lista_Etapas</formula1>
    </dataValidation>
    <dataValidation sqref="J2:J31" showDropDown="0" showInputMessage="0" showErrorMessage="1" allowBlank="1" errorTitle="Subetapa inválida" error="Selecione uma Subetapa já cadastrada na aba Subetapas." type="list">
      <formula1>Lista_Subetapas</formula1>
    </dataValidation>
    <dataValidation sqref="K2:K31" showDropDown="0" showInputMessage="0" showErrorMessage="1" allowBlank="1" errorTitle="Serviço inválido" error="Selecione um Serviço já cadastrado na aba Serviços." type="list">
      <formula1>Lista_Servicos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6" t="inlineStr">
        <is>
          <t>Resumo Financeiro</t>
        </is>
      </c>
      <c r="B1" s="2" t="n"/>
    </row>
    <row r="2">
      <c r="A2" s="3" t="inlineStr">
        <is>
          <t>Orçamento Inicial (Previsto)</t>
        </is>
      </c>
      <c r="B2" s="15">
        <f>Início!$B$8</f>
        <v/>
      </c>
    </row>
    <row r="3">
      <c r="A3" s="3" t="inlineStr">
        <is>
          <t>Aportes</t>
        </is>
      </c>
      <c r="B3" s="15">
        <f>SUM(TabelaFinanceiro[Aporte])</f>
        <v/>
      </c>
    </row>
    <row r="4">
      <c r="A4" s="3" t="inlineStr">
        <is>
          <t>Alterações Aprovadas</t>
        </is>
      </c>
      <c r="B4" s="15">
        <f>SUMIFS(TabelaAlteracoes[Impacto no Orçamento],TabelaAlteracoes[Status de Aprovação],"Aprovada")</f>
        <v/>
      </c>
    </row>
    <row r="5">
      <c r="A5" s="3" t="inlineStr">
        <is>
          <t>Orçamento Vigente</t>
        </is>
      </c>
      <c r="B5" s="15">
        <f>B2+B3+B4</f>
        <v/>
      </c>
    </row>
    <row r="6">
      <c r="A6" s="3" t="inlineStr">
        <is>
          <t>Custo Realizado</t>
        </is>
      </c>
      <c r="B6" s="15">
        <f>SUM(TabelaFinanceiro[Custo Realizado])</f>
        <v/>
      </c>
    </row>
    <row r="7">
      <c r="A7" s="3" t="inlineStr">
        <is>
          <t>Saldo Orçamentário</t>
        </is>
      </c>
      <c r="B7" s="15">
        <f>B5-B6</f>
        <v/>
      </c>
    </row>
    <row r="8">
      <c r="A8" s="3" t="inlineStr">
        <is>
          <t>% Orçamento Consumido</t>
        </is>
      </c>
      <c r="B8" s="7">
        <f>IF(B5=0,"N/D",B6/B5)</f>
        <v/>
      </c>
    </row>
    <row r="9">
      <c r="A9" s="3" t="inlineStr">
        <is>
          <t>Outras Entradas</t>
        </is>
      </c>
      <c r="B9" s="15">
        <f>SUMIF(TabelaFinanceiro[Tipo],"Outras Entradas",TabelaFinanceiro[Valor])</f>
        <v/>
      </c>
    </row>
    <row r="10">
      <c r="A10" s="3" t="inlineStr">
        <is>
          <t>Outras Saídas</t>
        </is>
      </c>
      <c r="B10" s="15">
        <f>SUMIF(TabelaFinanceiro[Tipo],"Outras Saídas",TabelaFinanceiro[Valor])</f>
        <v/>
      </c>
    </row>
    <row r="11">
      <c r="A11" s="3" t="inlineStr">
        <is>
          <t>Total de Entradas</t>
        </is>
      </c>
      <c r="B11" s="15">
        <f>B3+B9</f>
        <v/>
      </c>
    </row>
    <row r="12">
      <c r="A12" s="3" t="inlineStr">
        <is>
          <t>Total Pago</t>
        </is>
      </c>
      <c r="B12" s="15">
        <f>SUM(TabelaFinanceiro[Total Pago])</f>
        <v/>
      </c>
    </row>
    <row r="13">
      <c r="A13" s="3" t="inlineStr">
        <is>
          <t>Total de Saídas</t>
        </is>
      </c>
      <c r="B13" s="15">
        <f>B12+B10</f>
        <v/>
      </c>
    </row>
    <row r="14">
      <c r="A14" s="3" t="inlineStr">
        <is>
          <t>Saldo de Caixa</t>
        </is>
      </c>
      <c r="B14" s="15">
        <f>B11-B13</f>
        <v/>
      </c>
    </row>
    <row r="15">
      <c r="A15" s="3" t="inlineStr">
        <is>
          <t>Total A Pagar</t>
        </is>
      </c>
      <c r="B15" s="15">
        <f>SUM(TabelaFinanceiro[A Pagar])</f>
        <v/>
      </c>
    </row>
    <row r="16">
      <c r="A16" s="3" t="inlineStr">
        <is>
          <t>Estouro de Orçamento (indicador Operador-only)</t>
        </is>
      </c>
      <c r="B16" s="12">
        <f>IF(B7&lt;0,"SIM","NÃO")</f>
        <v/>
      </c>
    </row>
    <row r="18">
      <c r="A18" s="17" t="inlineStr">
        <is>
          <t>Nota da Etapa 5: Orçamento Vigente = Orçamento Inicial + Aportes + Alterações Aprovadas (aba Alterações, REG-017 completo).</t>
        </is>
      </c>
    </row>
    <row r="19">
      <c r="A19" s="17" t="inlineStr">
        <is>
          <t>Nota: 'Estouro de Orçamento' é Operador-only por especificação (Seções 29/30) — o mecanismo técnico de restrição por perfil ainda não existe (SEC_001, [H]).</t>
        </is>
      </c>
    </row>
  </sheetData>
  <mergeCells count="2">
    <mergeCell ref="A18:B18"/>
    <mergeCell ref="A19:B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6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8">
      <c r="A18" t="inlineStr">
        <is>
          <t>PAGAMENTOS</t>
        </is>
      </c>
      <c r="B18" t="inlineStr">
        <is>
          <t>PGT</t>
        </is>
      </c>
    </row>
    <row r="20">
      <c r="A20" s="3" t="inlineStr">
        <is>
          <t>Status do Serviço homologados (Etapa 3, Seção 18)</t>
        </is>
      </c>
    </row>
    <row r="21">
      <c r="A21" t="inlineStr">
        <is>
          <t>Ativo</t>
        </is>
      </c>
      <c r="B21" t="inlineStr">
        <is>
          <t>integra orçamento corrente</t>
        </is>
      </c>
    </row>
    <row r="22">
      <c r="A22" t="inlineStr">
        <is>
          <t>Concluído</t>
        </is>
      </c>
      <c r="B22" t="inlineStr">
        <is>
          <t>integra orçamento corrente</t>
        </is>
      </c>
    </row>
    <row r="23">
      <c r="A23" t="inlineStr">
        <is>
          <t>Cancelado</t>
        </is>
      </c>
      <c r="B23" t="inlineStr">
        <is>
          <t>excluído do orçamento corrente</t>
        </is>
      </c>
    </row>
    <row r="24">
      <c r="A24" t="inlineStr">
        <is>
          <t>Retirado do Escopo</t>
        </is>
      </c>
      <c r="B24" t="inlineStr">
        <is>
          <t>excluído do orçamento corrente</t>
        </is>
      </c>
    </row>
    <row r="25">
      <c r="A25" t="inlineStr">
        <is>
          <t>Substituído</t>
        </is>
      </c>
      <c r="B25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2026-09-24T01:12:05Z</dcterms:created>
  <dcterms:modified xsi:type="dcterms:W3CDTF">2026-09-24T01:12:06Z</dcterms:modified>
</cp:coreProperties>
</file>